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lfi Syahrin\Documents\"/>
    </mc:Choice>
  </mc:AlternateContent>
  <xr:revisionPtr revIDLastSave="0" documentId="13_ncr:1_{7DD3DE6A-4B83-4A19-B550-6CE675BFAF64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TRM 1A" sheetId="1" r:id="rId1"/>
    <sheet name="TRM 1B" sheetId="5" r:id="rId2"/>
    <sheet name="TI 1A" sheetId="2" r:id="rId3"/>
    <sheet name="TI 1B" sheetId="7" r:id="rId4"/>
    <sheet name="TM 1A" sheetId="3" r:id="rId5"/>
    <sheet name="TM 1B" sheetId="4" r:id="rId6"/>
    <sheet name="TM 1C" sheetId="8" r:id="rId7"/>
    <sheet name="1A - TRPF" sheetId="9" r:id="rId8"/>
  </sheets>
  <definedNames>
    <definedName name="_xlnm.Print_Area" localSheetId="4">'TM 1A'!$A$1:$K$32</definedName>
    <definedName name="_xlnm.Print_Area" localSheetId="5">'TM 1B'!$A$1:$K$34</definedName>
    <definedName name="_xlnm.Print_Area" localSheetId="0">'TRM 1A'!$A$1:$K$32</definedName>
    <definedName name="_xlnm.Print_Area" localSheetId="1">'TRM 1B'!$A$1:$K$34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5" l="1"/>
  <c r="L20" i="5" s="1"/>
  <c r="K21" i="5"/>
  <c r="L21" i="5" s="1"/>
  <c r="K22" i="5"/>
  <c r="L22" i="5" s="1"/>
  <c r="K23" i="5"/>
  <c r="L23" i="5" s="1"/>
  <c r="K24" i="5"/>
  <c r="L24" i="5" s="1"/>
  <c r="K25" i="5"/>
  <c r="L25" i="5" s="1"/>
  <c r="K20" i="1"/>
  <c r="L20" i="1" s="1"/>
  <c r="K21" i="1"/>
  <c r="L21" i="1" s="1"/>
  <c r="K22" i="1"/>
  <c r="L22" i="1" s="1"/>
  <c r="K23" i="1"/>
  <c r="L23" i="1" s="1"/>
  <c r="K24" i="1"/>
  <c r="L24" i="1" s="1"/>
  <c r="K15" i="8"/>
  <c r="L15" i="8" s="1"/>
  <c r="K16" i="8"/>
  <c r="L16" i="8" s="1"/>
  <c r="K17" i="8"/>
  <c r="L17" i="8" s="1"/>
  <c r="K18" i="8"/>
  <c r="L18" i="8" s="1"/>
  <c r="K19" i="8"/>
  <c r="L19" i="8" s="1"/>
  <c r="K20" i="8"/>
  <c r="L20" i="8" s="1"/>
  <c r="K21" i="8"/>
  <c r="L21" i="8" s="1"/>
  <c r="K22" i="8"/>
  <c r="L22" i="8" s="1"/>
  <c r="K23" i="8"/>
  <c r="L23" i="8" s="1"/>
  <c r="K18" i="4"/>
  <c r="L18" i="4" s="1"/>
  <c r="K19" i="4"/>
  <c r="L19" i="4" s="1"/>
  <c r="K20" i="4"/>
  <c r="L20" i="4" s="1"/>
  <c r="K21" i="4"/>
  <c r="L21" i="4" s="1"/>
  <c r="K22" i="4"/>
  <c r="L22" i="4" s="1"/>
  <c r="K23" i="4"/>
  <c r="L23" i="4" s="1"/>
  <c r="K24" i="4"/>
  <c r="L24" i="4" s="1"/>
  <c r="K18" i="3"/>
  <c r="L18" i="3" s="1"/>
  <c r="K19" i="3"/>
  <c r="L19" i="3" s="1"/>
  <c r="K20" i="3"/>
  <c r="L20" i="3" s="1"/>
  <c r="K21" i="3"/>
  <c r="L21" i="3" s="1"/>
  <c r="K22" i="3"/>
  <c r="L22" i="3" s="1"/>
  <c r="K23" i="3"/>
  <c r="L23" i="3" s="1"/>
  <c r="K19" i="9" l="1"/>
  <c r="L19" i="9" s="1"/>
  <c r="K20" i="9"/>
  <c r="L20" i="9" s="1"/>
  <c r="K21" i="9"/>
  <c r="L21" i="9" s="1"/>
  <c r="K22" i="9"/>
  <c r="L22" i="9" s="1"/>
  <c r="K23" i="9"/>
  <c r="L23" i="9" s="1"/>
  <c r="K28" i="9" l="1"/>
  <c r="L28" i="9" s="1"/>
  <c r="K27" i="9"/>
  <c r="L27" i="9" s="1"/>
  <c r="K26" i="9"/>
  <c r="L26" i="9" s="1"/>
  <c r="K25" i="9"/>
  <c r="L25" i="9" s="1"/>
  <c r="K24" i="9"/>
  <c r="L24" i="9" s="1"/>
  <c r="K18" i="9"/>
  <c r="L18" i="9" s="1"/>
  <c r="K17" i="9"/>
  <c r="L17" i="9" s="1"/>
  <c r="K16" i="9"/>
  <c r="L16" i="9" s="1"/>
  <c r="K15" i="9"/>
  <c r="L15" i="9" s="1"/>
  <c r="K14" i="9"/>
  <c r="L14" i="9" s="1"/>
  <c r="K13" i="9"/>
  <c r="L13" i="9" s="1"/>
  <c r="K12" i="9"/>
  <c r="L12" i="9" s="1"/>
  <c r="K11" i="9"/>
  <c r="L11" i="9" s="1"/>
  <c r="K10" i="9"/>
  <c r="L10" i="9" s="1"/>
  <c r="K9" i="9"/>
  <c r="L9" i="9" s="1"/>
  <c r="K8" i="9"/>
  <c r="L8" i="9" s="1"/>
  <c r="Q10" i="9" s="1"/>
  <c r="K7" i="9"/>
  <c r="L7" i="9" s="1"/>
  <c r="Q11" i="9" l="1"/>
  <c r="Q12" i="9"/>
  <c r="Q14" i="9" s="1"/>
  <c r="Q13" i="9"/>
  <c r="K32" i="8"/>
  <c r="L32" i="8" s="1"/>
  <c r="K31" i="8"/>
  <c r="L31" i="8" s="1"/>
  <c r="K30" i="8"/>
  <c r="L30" i="8" s="1"/>
  <c r="K29" i="8"/>
  <c r="L29" i="8" s="1"/>
  <c r="K28" i="8"/>
  <c r="L28" i="8" s="1"/>
  <c r="K27" i="8"/>
  <c r="L27" i="8" s="1"/>
  <c r="K26" i="8"/>
  <c r="L26" i="8" s="1"/>
  <c r="K25" i="8"/>
  <c r="L25" i="8" s="1"/>
  <c r="K24" i="8"/>
  <c r="L24" i="8" s="1"/>
  <c r="K14" i="8"/>
  <c r="L14" i="8" s="1"/>
  <c r="K13" i="8"/>
  <c r="L13" i="8" s="1"/>
  <c r="K12" i="8"/>
  <c r="L12" i="8" s="1"/>
  <c r="K11" i="8"/>
  <c r="L11" i="8" s="1"/>
  <c r="K10" i="8"/>
  <c r="L10" i="8" s="1"/>
  <c r="K9" i="8"/>
  <c r="L9" i="8" s="1"/>
  <c r="K8" i="8"/>
  <c r="L8" i="8" s="1"/>
  <c r="K7" i="8"/>
  <c r="L7" i="8" s="1"/>
  <c r="K22" i="7"/>
  <c r="L22" i="7" s="1"/>
  <c r="K21" i="7"/>
  <c r="L21" i="7" s="1"/>
  <c r="K20" i="7"/>
  <c r="L20" i="7" s="1"/>
  <c r="K19" i="7"/>
  <c r="L19" i="7" s="1"/>
  <c r="K18" i="7"/>
  <c r="L18" i="7" s="1"/>
  <c r="K17" i="7"/>
  <c r="L17" i="7" s="1"/>
  <c r="K16" i="7"/>
  <c r="L16" i="7" s="1"/>
  <c r="K15" i="7"/>
  <c r="L15" i="7" s="1"/>
  <c r="K14" i="7"/>
  <c r="L14" i="7" s="1"/>
  <c r="K13" i="7"/>
  <c r="L13" i="7" s="1"/>
  <c r="K12" i="7"/>
  <c r="L12" i="7" s="1"/>
  <c r="K11" i="7"/>
  <c r="L11" i="7" s="1"/>
  <c r="K10" i="7"/>
  <c r="L10" i="7" s="1"/>
  <c r="K9" i="7"/>
  <c r="L9" i="7" s="1"/>
  <c r="K8" i="7"/>
  <c r="L8" i="7" s="1"/>
  <c r="K7" i="7"/>
  <c r="L7" i="7" s="1"/>
  <c r="Q13" i="7" l="1"/>
  <c r="Q10" i="7"/>
  <c r="Q11" i="7"/>
  <c r="Q12" i="7"/>
  <c r="Q13" i="8"/>
  <c r="Q10" i="8"/>
  <c r="Q11" i="8"/>
  <c r="Q12" i="8"/>
  <c r="K31" i="5"/>
  <c r="L31" i="5" s="1"/>
  <c r="K30" i="5"/>
  <c r="L30" i="5" s="1"/>
  <c r="K29" i="5"/>
  <c r="L29" i="5" s="1"/>
  <c r="K28" i="5"/>
  <c r="L28" i="5" s="1"/>
  <c r="K27" i="5"/>
  <c r="L27" i="5" s="1"/>
  <c r="K26" i="5"/>
  <c r="L26" i="5" s="1"/>
  <c r="K19" i="5"/>
  <c r="L19" i="5" s="1"/>
  <c r="K18" i="5"/>
  <c r="L18" i="5" s="1"/>
  <c r="K17" i="5"/>
  <c r="L17" i="5" s="1"/>
  <c r="K16" i="5"/>
  <c r="L16" i="5" s="1"/>
  <c r="K15" i="5"/>
  <c r="L15" i="5" s="1"/>
  <c r="K14" i="5"/>
  <c r="L14" i="5" s="1"/>
  <c r="K13" i="5"/>
  <c r="L13" i="5" s="1"/>
  <c r="K12" i="5"/>
  <c r="L12" i="5" s="1"/>
  <c r="K11" i="5"/>
  <c r="L11" i="5" s="1"/>
  <c r="K10" i="5"/>
  <c r="L10" i="5" s="1"/>
  <c r="K9" i="5"/>
  <c r="L9" i="5" s="1"/>
  <c r="K8" i="5"/>
  <c r="L8" i="5" s="1"/>
  <c r="K7" i="5"/>
  <c r="L7" i="5" s="1"/>
  <c r="K6" i="5"/>
  <c r="L6" i="5" s="1"/>
  <c r="Q14" i="8" l="1"/>
  <c r="Q11" i="5"/>
  <c r="Q9" i="5"/>
  <c r="Q10" i="5"/>
  <c r="Q12" i="5"/>
  <c r="Q14" i="7"/>
  <c r="K31" i="4"/>
  <c r="L31" i="4" s="1"/>
  <c r="K30" i="4"/>
  <c r="L30" i="4" s="1"/>
  <c r="K29" i="4"/>
  <c r="L29" i="4" s="1"/>
  <c r="K28" i="4"/>
  <c r="L28" i="4" s="1"/>
  <c r="K27" i="4"/>
  <c r="L27" i="4" s="1"/>
  <c r="K26" i="4"/>
  <c r="L26" i="4" s="1"/>
  <c r="K25" i="4"/>
  <c r="L25" i="4" s="1"/>
  <c r="K17" i="4"/>
  <c r="L17" i="4" s="1"/>
  <c r="K16" i="4"/>
  <c r="L16" i="4" s="1"/>
  <c r="K15" i="4"/>
  <c r="L15" i="4" s="1"/>
  <c r="K14" i="4"/>
  <c r="L14" i="4" s="1"/>
  <c r="K13" i="4"/>
  <c r="L13" i="4" s="1"/>
  <c r="K12" i="4"/>
  <c r="L12" i="4" s="1"/>
  <c r="K11" i="4"/>
  <c r="L11" i="4" s="1"/>
  <c r="K10" i="4"/>
  <c r="L10" i="4" s="1"/>
  <c r="K9" i="4"/>
  <c r="L9" i="4" s="1"/>
  <c r="K8" i="4"/>
  <c r="L8" i="4" s="1"/>
  <c r="K7" i="4"/>
  <c r="L7" i="4" s="1"/>
  <c r="K29" i="3"/>
  <c r="L29" i="3" s="1"/>
  <c r="K28" i="3"/>
  <c r="L28" i="3" s="1"/>
  <c r="K27" i="3"/>
  <c r="L27" i="3" s="1"/>
  <c r="K26" i="3"/>
  <c r="L26" i="3" s="1"/>
  <c r="K25" i="3"/>
  <c r="L25" i="3" s="1"/>
  <c r="K24" i="3"/>
  <c r="L24" i="3" s="1"/>
  <c r="K17" i="3"/>
  <c r="L17" i="3" s="1"/>
  <c r="K16" i="3"/>
  <c r="L16" i="3" s="1"/>
  <c r="K15" i="3"/>
  <c r="L15" i="3" s="1"/>
  <c r="K14" i="3"/>
  <c r="L14" i="3" s="1"/>
  <c r="K13" i="3"/>
  <c r="L13" i="3" s="1"/>
  <c r="K12" i="3"/>
  <c r="L12" i="3" s="1"/>
  <c r="K11" i="3"/>
  <c r="L11" i="3" s="1"/>
  <c r="K10" i="3"/>
  <c r="L10" i="3" s="1"/>
  <c r="K9" i="3"/>
  <c r="L9" i="3" s="1"/>
  <c r="K8" i="3"/>
  <c r="L8" i="3" s="1"/>
  <c r="Q11" i="3" s="1"/>
  <c r="K7" i="3"/>
  <c r="L7" i="3" s="1"/>
  <c r="K24" i="2"/>
  <c r="L24" i="2" s="1"/>
  <c r="K23" i="2"/>
  <c r="L23" i="2" s="1"/>
  <c r="K22" i="2"/>
  <c r="L22" i="2" s="1"/>
  <c r="K21" i="2"/>
  <c r="L21" i="2" s="1"/>
  <c r="K20" i="2"/>
  <c r="L20" i="2" s="1"/>
  <c r="K19" i="2"/>
  <c r="L19" i="2" s="1"/>
  <c r="K18" i="2"/>
  <c r="L18" i="2" s="1"/>
  <c r="K17" i="2"/>
  <c r="L17" i="2" s="1"/>
  <c r="K16" i="2"/>
  <c r="L16" i="2" s="1"/>
  <c r="K15" i="2"/>
  <c r="L15" i="2" s="1"/>
  <c r="K14" i="2"/>
  <c r="L14" i="2" s="1"/>
  <c r="K13" i="2"/>
  <c r="L13" i="2" s="1"/>
  <c r="K12" i="2"/>
  <c r="L12" i="2" s="1"/>
  <c r="K11" i="2"/>
  <c r="L11" i="2" s="1"/>
  <c r="K10" i="2"/>
  <c r="L10" i="2" s="1"/>
  <c r="K9" i="2"/>
  <c r="L9" i="2" s="1"/>
  <c r="K8" i="2"/>
  <c r="L8" i="2" s="1"/>
  <c r="K7" i="2"/>
  <c r="L7" i="2" s="1"/>
  <c r="Q11" i="4" l="1"/>
  <c r="Q12" i="4"/>
  <c r="Q13" i="4"/>
  <c r="Q13" i="2"/>
  <c r="Q11" i="2"/>
  <c r="Q10" i="2"/>
  <c r="Q12" i="2"/>
  <c r="Q14" i="2" s="1"/>
  <c r="Q13" i="5"/>
  <c r="Q10" i="4"/>
  <c r="Q12" i="3"/>
  <c r="Q13" i="3"/>
  <c r="Q10" i="3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5" i="1"/>
  <c r="L25" i="1" s="1"/>
  <c r="K26" i="1"/>
  <c r="L26" i="1" s="1"/>
  <c r="K27" i="1"/>
  <c r="L27" i="1" s="1"/>
  <c r="K28" i="1"/>
  <c r="L28" i="1" s="1"/>
  <c r="K29" i="1"/>
  <c r="L29" i="1" s="1"/>
  <c r="K6" i="1"/>
  <c r="L6" i="1" s="1"/>
  <c r="Q13" i="1" l="1"/>
  <c r="Q10" i="1"/>
  <c r="Q11" i="1"/>
  <c r="Q12" i="1"/>
  <c r="Q14" i="3"/>
  <c r="Q14" i="4"/>
  <c r="Q14" i="1" l="1"/>
</calcChain>
</file>

<file path=xl/sharedStrings.xml><?xml version="1.0" encoding="utf-8"?>
<sst xmlns="http://schemas.openxmlformats.org/spreadsheetml/2006/main" count="789" uniqueCount="351">
  <si>
    <t>Score</t>
  </si>
  <si>
    <t>NO</t>
  </si>
  <si>
    <t>Nama</t>
  </si>
  <si>
    <t>Jumlah Benar</t>
  </si>
  <si>
    <t>Nilai TOEFL</t>
  </si>
  <si>
    <t>L</t>
  </si>
  <si>
    <t>S</t>
  </si>
  <si>
    <t>R</t>
  </si>
  <si>
    <t>Listening</t>
  </si>
  <si>
    <t>Structure</t>
  </si>
  <si>
    <t>Reading</t>
  </si>
  <si>
    <t>Muhammad Nasir, S.Pd., M.Pd</t>
  </si>
  <si>
    <t>NIP 19720621 200112 1 001</t>
  </si>
  <si>
    <t>REKAP NILAI</t>
  </si>
  <si>
    <t>Ka. UPT. Bahasa
Politeknik Negeri Lhokseumawe</t>
  </si>
  <si>
    <t>Muhammad Irfan</t>
  </si>
  <si>
    <t>Nim Mahasiswa</t>
  </si>
  <si>
    <t xml:space="preserve">T. Mesin / TRPF / 1A </t>
  </si>
  <si>
    <t>ACHMAD FURQAN</t>
  </si>
  <si>
    <t>2022363030009</t>
  </si>
  <si>
    <t>ADAM FARIZA</t>
  </si>
  <si>
    <t>2022363030015</t>
  </si>
  <si>
    <t>ADAM MAHDI</t>
  </si>
  <si>
    <t>2022363030016</t>
  </si>
  <si>
    <t>AMRIZAL</t>
  </si>
  <si>
    <t>2022363030001</t>
  </si>
  <si>
    <t>FADLUR RAHMAN</t>
  </si>
  <si>
    <t>2022363030010</t>
  </si>
  <si>
    <t>FATHIH AKYAL RIYADHI</t>
  </si>
  <si>
    <t>2022363030003</t>
  </si>
  <si>
    <t>FERDI DESRIANDA</t>
  </si>
  <si>
    <t>2022363030011</t>
  </si>
  <si>
    <t>HAMZAH</t>
  </si>
  <si>
    <t>2022363030017</t>
  </si>
  <si>
    <t>IKRAM</t>
  </si>
  <si>
    <t>2022363030018</t>
  </si>
  <si>
    <t>INDRA RAMADHAN</t>
  </si>
  <si>
    <t>2022363030019</t>
  </si>
  <si>
    <t>MALIKUL MULKI</t>
  </si>
  <si>
    <t>2022363030005</t>
  </si>
  <si>
    <t>MUHAJIR</t>
  </si>
  <si>
    <t>2022363030020</t>
  </si>
  <si>
    <t>MUHAMMAD FAJAR AULIA</t>
  </si>
  <si>
    <t>2022363030012</t>
  </si>
  <si>
    <t>MUHAMMAD ULIL AL FITRAH</t>
  </si>
  <si>
    <t>2022363030013</t>
  </si>
  <si>
    <t>MUHAMMAD ZHAFIR KAMIL</t>
  </si>
  <si>
    <t>2022363030021</t>
  </si>
  <si>
    <t>MULZABHAI ALIB ARSELAN RIFAT</t>
  </si>
  <si>
    <t>2022363030022</t>
  </si>
  <si>
    <t>NAZARUDDIN</t>
  </si>
  <si>
    <t>2022363030023</t>
  </si>
  <si>
    <t>RAJAUL HUSNI</t>
  </si>
  <si>
    <t>2022363030024</t>
  </si>
  <si>
    <t>RIFQI ALBAIHAQI</t>
  </si>
  <si>
    <t>2022363030006</t>
  </si>
  <si>
    <t>RIZQAN SYAWALI ASMI</t>
  </si>
  <si>
    <t>2022363030004</t>
  </si>
  <si>
    <t>SYAHPUTRA KUSUMA WARDANA</t>
  </si>
  <si>
    <t>2022363030014</t>
  </si>
  <si>
    <t>ZAHARI ZULFAKRI</t>
  </si>
  <si>
    <t>2022363030008</t>
  </si>
  <si>
    <t>TES TOEFL MAHASISWA BARU ANGKATAN 2022</t>
  </si>
  <si>
    <t>Politeknik Negeri Lhokseumawe 2023</t>
  </si>
  <si>
    <t>T. Mesin / Teknologi Industri / 1A</t>
  </si>
  <si>
    <t>AHYAL FATA</t>
  </si>
  <si>
    <t>2022214020002</t>
  </si>
  <si>
    <t>ARIE RYANDI</t>
  </si>
  <si>
    <t>2022214020003</t>
  </si>
  <si>
    <t>DIFANI ARISKI</t>
  </si>
  <si>
    <t>2022214020026</t>
  </si>
  <si>
    <t>FIRMANSYAH PUTRA GINTING</t>
  </si>
  <si>
    <t>2022214020006</t>
  </si>
  <si>
    <t>KAHAR ZAMAN</t>
  </si>
  <si>
    <t>2022214020027</t>
  </si>
  <si>
    <t>KHAIRATUL ULA</t>
  </si>
  <si>
    <t>2022214020009</t>
  </si>
  <si>
    <t>KHAIRULLAH</t>
  </si>
  <si>
    <t>2022214020010</t>
  </si>
  <si>
    <t>M PARHAN</t>
  </si>
  <si>
    <t>2022214020012</t>
  </si>
  <si>
    <t>MAULANA MALIK</t>
  </si>
  <si>
    <t>2022214020029</t>
  </si>
  <si>
    <t>MUHAMMAD AFIF KHAIRULLAH</t>
  </si>
  <si>
    <t>2022214020031</t>
  </si>
  <si>
    <t>MUHAMMAD HABIBILLAH</t>
  </si>
  <si>
    <t>2022214020013</t>
  </si>
  <si>
    <t>MUHAMMAD RIZKY</t>
  </si>
  <si>
    <t>2022214020033</t>
  </si>
  <si>
    <t>NABILA KHANSA</t>
  </si>
  <si>
    <t>2022214020034</t>
  </si>
  <si>
    <t>NAUVAL KURNIA MUZAKI</t>
  </si>
  <si>
    <t>2022214020035</t>
  </si>
  <si>
    <t>RIAN MAULANA</t>
  </si>
  <si>
    <t>2022214020036</t>
  </si>
  <si>
    <t>SOPIA NELI</t>
  </si>
  <si>
    <t>2022214020020</t>
  </si>
  <si>
    <t>TEUKU KAMAL</t>
  </si>
  <si>
    <t>2022214020022</t>
  </si>
  <si>
    <t>WIRA ADIKA AKMAL</t>
  </si>
  <si>
    <t>2022214020024</t>
  </si>
  <si>
    <t>T. Mesin / Teknologi Industri / 1B</t>
  </si>
  <si>
    <t>AFDHALUL ZIKRI</t>
  </si>
  <si>
    <t>2022214020001</t>
  </si>
  <si>
    <t>AISHA PUTRI SALSABILA</t>
  </si>
  <si>
    <t>2022214020025</t>
  </si>
  <si>
    <t>DARMANSYAH</t>
  </si>
  <si>
    <t>2022214020004</t>
  </si>
  <si>
    <t>FADIL AHMADI SIREGAR</t>
  </si>
  <si>
    <t>2022214020005</t>
  </si>
  <si>
    <t>KALKAUSAR</t>
  </si>
  <si>
    <t>2022214020008</t>
  </si>
  <si>
    <t>KHAIRUN NISA</t>
  </si>
  <si>
    <t>2022214020011</t>
  </si>
  <si>
    <t>MAULANA FIKRI</t>
  </si>
  <si>
    <t>2022214020028</t>
  </si>
  <si>
    <t>MAULANA PUTRA</t>
  </si>
  <si>
    <t>2022214020030</t>
  </si>
  <si>
    <t>MUHAMMAD HAEKAL</t>
  </si>
  <si>
    <t>2022214020014</t>
  </si>
  <si>
    <t>MUHAMMAD RAYHAN LUBIS</t>
  </si>
  <si>
    <t>2022214020016</t>
  </si>
  <si>
    <t>NABILA KHAIRUNNISA</t>
  </si>
  <si>
    <t>2022214020017</t>
  </si>
  <si>
    <t>NAUFAL AL ZAKY</t>
  </si>
  <si>
    <t>2022214020018</t>
  </si>
  <si>
    <t>RUBY JANURAI</t>
  </si>
  <si>
    <t>2022214020037</t>
  </si>
  <si>
    <t>T. FAHMI HARDIYANSYAH</t>
  </si>
  <si>
    <t>2022214020021</t>
  </si>
  <si>
    <t>TEUKU RYAN AULIA</t>
  </si>
  <si>
    <t>2022214020038</t>
  </si>
  <si>
    <t>ZHORIF OLFAT</t>
  </si>
  <si>
    <t>2022214020039</t>
  </si>
  <si>
    <t xml:space="preserve">T. Mesin / Teknologi Mesin / 1A </t>
  </si>
  <si>
    <t>Aditya</t>
  </si>
  <si>
    <t>2022214010049</t>
  </si>
  <si>
    <t>ALDI BARUS</t>
  </si>
  <si>
    <t>2022214010003</t>
  </si>
  <si>
    <t>Aulia Syafrizal</t>
  </si>
  <si>
    <t>2022214010055</t>
  </si>
  <si>
    <t>Boy Haqqi</t>
  </si>
  <si>
    <t>2022214010039</t>
  </si>
  <si>
    <t>ERIK CHANTONA SINAGA</t>
  </si>
  <si>
    <t>2022214010008</t>
  </si>
  <si>
    <t>Habib Rizki</t>
  </si>
  <si>
    <t>2022214010040</t>
  </si>
  <si>
    <t>Hendra Saputra</t>
  </si>
  <si>
    <t>2022214010012</t>
  </si>
  <si>
    <t>Ikhwanul Muslim Siregar</t>
  </si>
  <si>
    <t>2022214010061</t>
  </si>
  <si>
    <t>IRHAM MUHIBUDDIN</t>
  </si>
  <si>
    <t>2022214010013</t>
  </si>
  <si>
    <t>Jamalda</t>
  </si>
  <si>
    <t>2022214010064</t>
  </si>
  <si>
    <t>Miftahul Rizky</t>
  </si>
  <si>
    <t>2022214010043</t>
  </si>
  <si>
    <t>Muhammad Alfa Reza</t>
  </si>
  <si>
    <t>2022214010016</t>
  </si>
  <si>
    <t>Muhammad Fizal</t>
  </si>
  <si>
    <t>2022214010021</t>
  </si>
  <si>
    <t>2022214010069</t>
  </si>
  <si>
    <t>MUHAMMAD KHATAMI</t>
  </si>
  <si>
    <t>2022214010024</t>
  </si>
  <si>
    <t>Muhammad Rasya Julianda</t>
  </si>
  <si>
    <t>2022214010046</t>
  </si>
  <si>
    <t>RAMADHANI</t>
  </si>
  <si>
    <t>2022214010027</t>
  </si>
  <si>
    <t>Rizki Fajar Hidayatullah</t>
  </si>
  <si>
    <t>2022214010075</t>
  </si>
  <si>
    <t>Sangkot Diki Kurnia</t>
  </si>
  <si>
    <t>2022214010031</t>
  </si>
  <si>
    <t>T. MUHAMMAD RAFA ALGHIFARI</t>
  </si>
  <si>
    <t>2022214010033</t>
  </si>
  <si>
    <t>Teuku Ferry Firmansyah</t>
  </si>
  <si>
    <t>2022214010077</t>
  </si>
  <si>
    <t>ZAKI MUHAMMAD SIREGAR</t>
  </si>
  <si>
    <t>2022214010037</t>
  </si>
  <si>
    <t>Zhiaul Umam</t>
  </si>
  <si>
    <t>2022214010080</t>
  </si>
  <si>
    <t xml:space="preserve">T. Mesin / Teknologi Mesin / 1B </t>
  </si>
  <si>
    <t>Alfiza Marshal</t>
  </si>
  <si>
    <t>2022214010051</t>
  </si>
  <si>
    <t>Arief Anwar Saputra</t>
  </si>
  <si>
    <t>2022214010052</t>
  </si>
  <si>
    <t>Aulia Rachman</t>
  </si>
  <si>
    <t>2022214010007</t>
  </si>
  <si>
    <t>Ayup Syaputra</t>
  </si>
  <si>
    <t>2022214010056</t>
  </si>
  <si>
    <t>Chairol Munadir</t>
  </si>
  <si>
    <t>2022214010057</t>
  </si>
  <si>
    <t>FACHRUR ROZY RAMBE</t>
  </si>
  <si>
    <t>2022214010009</t>
  </si>
  <si>
    <t>Habibi Alwiansyah</t>
  </si>
  <si>
    <t>2022214010011</t>
  </si>
  <si>
    <t>Heriadi</t>
  </si>
  <si>
    <t>2022214010041</t>
  </si>
  <si>
    <t>Iksan Aulia Saputra</t>
  </si>
  <si>
    <t>2022214010062</t>
  </si>
  <si>
    <t>Izzul Izza Aulia</t>
  </si>
  <si>
    <t>2022214010042</t>
  </si>
  <si>
    <t>M. Irvandi</t>
  </si>
  <si>
    <t>2022214010065</t>
  </si>
  <si>
    <t>Muchriza Fathan</t>
  </si>
  <si>
    <t>2022214010044</t>
  </si>
  <si>
    <t>Muhammad Arisandi</t>
  </si>
  <si>
    <t>2022214010067</t>
  </si>
  <si>
    <t>MUHAMMAD FAUZAN MUNAZHIL</t>
  </si>
  <si>
    <t>2022214010019</t>
  </si>
  <si>
    <t>MUHAMMAD HAFIS</t>
  </si>
  <si>
    <t>2022214010022</t>
  </si>
  <si>
    <t>Muhammad Khairul Mudalil</t>
  </si>
  <si>
    <t>2022214010070</t>
  </si>
  <si>
    <t>Muhammad Mauliadi</t>
  </si>
  <si>
    <t>2022214010045</t>
  </si>
  <si>
    <t>MUHAMMAD ZIEDHAN</t>
  </si>
  <si>
    <t>2022214010025</t>
  </si>
  <si>
    <t>Nasrullah</t>
  </si>
  <si>
    <t>2022214010073</t>
  </si>
  <si>
    <t>Ricky Ramadani</t>
  </si>
  <si>
    <t>2022214010028</t>
  </si>
  <si>
    <t>SAFRIZAL</t>
  </si>
  <si>
    <t>2022214010030</t>
  </si>
  <si>
    <t>SULTHAN MAULANA</t>
  </si>
  <si>
    <t>2022214010032</t>
  </si>
  <si>
    <t>T.NIZWAR AMANDA</t>
  </si>
  <si>
    <t>2022214010034</t>
  </si>
  <si>
    <t>Willy Feriansyah</t>
  </si>
  <si>
    <t>2022214010078</t>
  </si>
  <si>
    <t>Zakki Al Azis</t>
  </si>
  <si>
    <t>2022214010079</t>
  </si>
  <si>
    <t xml:space="preserve">T. Mesin / Teknologi Mesin / 1C </t>
  </si>
  <si>
    <t>ABDILBAR</t>
  </si>
  <si>
    <t>2022214010001</t>
  </si>
  <si>
    <t>Akmal Nizam</t>
  </si>
  <si>
    <t>2022214010050</t>
  </si>
  <si>
    <t>Ananda Riski</t>
  </si>
  <si>
    <t>2022214010004</t>
  </si>
  <si>
    <t>Aris Munandar</t>
  </si>
  <si>
    <t>2022214010053</t>
  </si>
  <si>
    <t>Aulia Rizki</t>
  </si>
  <si>
    <t>2022214010054</t>
  </si>
  <si>
    <t>Binaul Rizki</t>
  </si>
  <si>
    <t>2022214010038</t>
  </si>
  <si>
    <t>Daffa Adra</t>
  </si>
  <si>
    <t>2022214010058</t>
  </si>
  <si>
    <t>Fauzan Arief Nugraha</t>
  </si>
  <si>
    <t>2022214010010</t>
  </si>
  <si>
    <t>Hairul Effendi</t>
  </si>
  <si>
    <t>2022214010059</t>
  </si>
  <si>
    <t>Hojina Ziatul Hikal</t>
  </si>
  <si>
    <t>2022214010060</t>
  </si>
  <si>
    <t>Iqbal</t>
  </si>
  <si>
    <t>2022214010063</t>
  </si>
  <si>
    <t>Jadul Haq</t>
  </si>
  <si>
    <t>2022214010014</t>
  </si>
  <si>
    <t>MHD. RAFIQ AL ANSARI LUBIS</t>
  </si>
  <si>
    <t>2022214010015</t>
  </si>
  <si>
    <t>Muhammad Al Hafidh</t>
  </si>
  <si>
    <t>2022214010066</t>
  </si>
  <si>
    <t>MUHAMMAD FIRMANSYAH</t>
  </si>
  <si>
    <t>2022214010020</t>
  </si>
  <si>
    <t>Muhammad Ilham Ramadhan</t>
  </si>
  <si>
    <t>2022214010068</t>
  </si>
  <si>
    <t>Muhammad Khalil</t>
  </si>
  <si>
    <t>2022214010023</t>
  </si>
  <si>
    <t>Muhammad Pasai</t>
  </si>
  <si>
    <t>2022214010071</t>
  </si>
  <si>
    <t>Muksal Mina</t>
  </si>
  <si>
    <t>2022214010072</t>
  </si>
  <si>
    <t>Rahmad Al Ikhsan</t>
  </si>
  <si>
    <t>2022214010074</t>
  </si>
  <si>
    <t>Risno</t>
  </si>
  <si>
    <t>2022214010029</t>
  </si>
  <si>
    <t>Saidsaifulanwar</t>
  </si>
  <si>
    <t>2022214010047</t>
  </si>
  <si>
    <t>Syahirul'Alim Azzahri</t>
  </si>
  <si>
    <t>2022214010076</t>
  </si>
  <si>
    <t>TEGAR FEBRIANTONI</t>
  </si>
  <si>
    <t>2022214010035</t>
  </si>
  <si>
    <t>Zaid Alfian</t>
  </si>
  <si>
    <t>2022214010036</t>
  </si>
  <si>
    <t>Zamharira</t>
  </si>
  <si>
    <t>2022214010048</t>
  </si>
  <si>
    <t>T. Mesin / TRM / 1A</t>
  </si>
  <si>
    <t>AGUSTIAR</t>
  </si>
  <si>
    <t>Alfin Rifial</t>
  </si>
  <si>
    <t>Ardian Hidayat</t>
  </si>
  <si>
    <t>Arfandi Riski Ramadana</t>
  </si>
  <si>
    <t>CHAIRUL NAS</t>
  </si>
  <si>
    <t>IHSAN</t>
  </si>
  <si>
    <t>ILHAM SURYA</t>
  </si>
  <si>
    <t>Lisa Oktaviana</t>
  </si>
  <si>
    <t>M Rizki Ardika</t>
  </si>
  <si>
    <t>Maulana Ikbal</t>
  </si>
  <si>
    <t>Meisi Andayani</t>
  </si>
  <si>
    <t>MHD. REZA AL MUMTAZA</t>
  </si>
  <si>
    <t>Mirzatillah</t>
  </si>
  <si>
    <t>Muhammad Dafit</t>
  </si>
  <si>
    <t>Muhammad Hanif</t>
  </si>
  <si>
    <t>Muhammad Nazar</t>
  </si>
  <si>
    <t>Muhammad Ridho Al - Hafizh</t>
  </si>
  <si>
    <t>MUHAMMAD SYAKIR AL-AMIN</t>
  </si>
  <si>
    <t>MUHAMMAD ZAIRIN ANSHORY</t>
  </si>
  <si>
    <t>RIFZAN FIKRAN</t>
  </si>
  <si>
    <t>SALMAN AL FARIZI</t>
  </si>
  <si>
    <t>Sayed Hadi Ichsan</t>
  </si>
  <si>
    <t>Syawali Akbar</t>
  </si>
  <si>
    <t>Teuku Reza Aulia</t>
  </si>
  <si>
    <t>T. Mesin / TRM / 1B</t>
  </si>
  <si>
    <t>Ahmad Ramadhani</t>
  </si>
  <si>
    <t>Amrin</t>
  </si>
  <si>
    <t>ANDRA RAMADHAN</t>
  </si>
  <si>
    <t>Ardimas Ikhsantri</t>
  </si>
  <si>
    <t>Ari Ansyah</t>
  </si>
  <si>
    <t>Dahrul Afwadi</t>
  </si>
  <si>
    <t>Haikal Maulana</t>
  </si>
  <si>
    <t>Ikhsan Islamay</t>
  </si>
  <si>
    <t>Imam Barazi</t>
  </si>
  <si>
    <t>LIWAUL HAMDI</t>
  </si>
  <si>
    <t>Martunis</t>
  </si>
  <si>
    <t>Mufty Al Umam</t>
  </si>
  <si>
    <t>Muhamad Irfianda Adrian</t>
  </si>
  <si>
    <t>Muhammad Dhaffa Ghifari</t>
  </si>
  <si>
    <t>MUHAMMAD IRFAN</t>
  </si>
  <si>
    <t>Muhammad Khardawi</t>
  </si>
  <si>
    <t>Muhammad Reza</t>
  </si>
  <si>
    <t>Muhammad Risky Dwi Zulham</t>
  </si>
  <si>
    <t>Muhammad Syauki</t>
  </si>
  <si>
    <t>Muntazir</t>
  </si>
  <si>
    <t>RIAN JUANDA</t>
  </si>
  <si>
    <t>RONALDO KABAN</t>
  </si>
  <si>
    <t>Saryulis</t>
  </si>
  <si>
    <t>Tajul Fuzdhari</t>
  </si>
  <si>
    <t>ZACKY AULIA ZULHAM</t>
  </si>
  <si>
    <t>TIDAK IKUT TEST</t>
  </si>
  <si>
    <t>Range</t>
  </si>
  <si>
    <t>Nilai</t>
  </si>
  <si>
    <t>Grade</t>
  </si>
  <si>
    <t>Jumlah</t>
  </si>
  <si>
    <t>&gt;0-399</t>
  </si>
  <si>
    <t>D</t>
  </si>
  <si>
    <t>&gt;400-449</t>
  </si>
  <si>
    <t>C</t>
  </si>
  <si>
    <t>&gt;450-499</t>
  </si>
  <si>
    <t>B</t>
  </si>
  <si>
    <t>&gt;500-599</t>
  </si>
  <si>
    <t>A</t>
  </si>
  <si>
    <t>TOTAL MHS</t>
  </si>
  <si>
    <t>KET</t>
  </si>
  <si>
    <t>Jur / Prodi / Kls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</si>
</sst>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6"/>
      <color theme="1"/>
      <name val="Times New Roman"/>
      <family val="1"/>
    </font>
    <font>
      <b/>
      <sz val="2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sz val="12"/>
      <color rgb="FF333333"/>
      <name val="Times New Roman"/>
      <family val="1"/>
    </font>
    <font>
      <sz val="14"/>
      <color rgb="FF333333"/>
      <name val="Times New Roman"/>
      <family val="1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7" fillId="0" borderId="0"/>
    <xf numFmtId="0" fontId="8" fillId="0" borderId="0"/>
    <xf numFmtId="0" fontId="12" fillId="0" borderId="0" applyFill="0" applyProtection="0"/>
  </cellStyleXfs>
  <cellXfs count="136">
    <xf numFmtId="0" fontId="0" fillId="0" borderId="0" xfId="0"/>
    <xf numFmtId="0" fontId="1" fillId="0" borderId="7" xfId="0" applyFont="1" applyBorder="1" applyAlignment="1">
      <alignment horizontal="left" vertical="top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4" fillId="0" borderId="4" xfId="0" applyFont="1" applyFill="1" applyBorder="1" applyAlignment="1">
      <alignment horizontal="center" vertical="center" wrapText="1"/>
    </xf>
    <xf numFmtId="1" fontId="3" fillId="0" borderId="6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left" vertical="center"/>
    </xf>
    <xf numFmtId="0" fontId="9" fillId="0" borderId="1" xfId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left" vertical="center"/>
    </xf>
    <xf numFmtId="0" fontId="9" fillId="0" borderId="0" xfId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49" fontId="9" fillId="0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3" borderId="1" xfId="0" quotePrefix="1" applyFont="1" applyFill="1" applyBorder="1" applyAlignment="1">
      <alignment horizontal="center" vertical="center" wrapText="1"/>
    </xf>
    <xf numFmtId="0" fontId="1" fillId="0" borderId="0" xfId="0" quotePrefix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10" fillId="3" borderId="1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vertical="center" wrapText="1"/>
    </xf>
    <xf numFmtId="0" fontId="11" fillId="3" borderId="1" xfId="0" quotePrefix="1" applyFont="1" applyFill="1" applyBorder="1" applyAlignment="1">
      <alignment horizontal="center" vertical="center" wrapText="1"/>
    </xf>
    <xf numFmtId="0" fontId="1" fillId="0" borderId="8" xfId="1" applyFont="1" applyFill="1" applyBorder="1" applyAlignment="1" applyProtection="1">
      <alignment horizontal="left" vertical="center"/>
    </xf>
    <xf numFmtId="1" fontId="1" fillId="0" borderId="9" xfId="1" applyNumberFormat="1" applyFont="1" applyFill="1" applyBorder="1" applyAlignment="1" applyProtection="1">
      <alignment horizontal="center" vertical="center"/>
    </xf>
    <xf numFmtId="0" fontId="13" fillId="0" borderId="10" xfId="3" applyFont="1" applyFill="1" applyBorder="1" applyAlignment="1" applyProtection="1">
      <alignment horizontal="left" vertical="center"/>
    </xf>
    <xf numFmtId="1" fontId="13" fillId="0" borderId="10" xfId="3" applyNumberFormat="1" applyFont="1" applyFill="1" applyBorder="1" applyAlignment="1" applyProtection="1">
      <alignment horizontal="center" vertical="center"/>
    </xf>
    <xf numFmtId="1" fontId="3" fillId="4" borderId="6" xfId="0" applyNumberFormat="1" applyFont="1" applyFill="1" applyBorder="1" applyAlignment="1">
      <alignment horizontal="center" vertical="center"/>
    </xf>
    <xf numFmtId="0" fontId="1" fillId="4" borderId="8" xfId="1" applyFont="1" applyFill="1" applyBorder="1" applyAlignment="1" applyProtection="1">
      <alignment horizontal="left" vertical="center"/>
    </xf>
    <xf numFmtId="1" fontId="1" fillId="4" borderId="9" xfId="1" applyNumberFormat="1" applyFont="1" applyFill="1" applyBorder="1" applyAlignment="1" applyProtection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/>
    </xf>
    <xf numFmtId="0" fontId="13" fillId="4" borderId="10" xfId="3" applyFont="1" applyFill="1" applyBorder="1" applyAlignment="1" applyProtection="1">
      <alignment horizontal="left" vertical="center"/>
    </xf>
    <xf numFmtId="1" fontId="13" fillId="4" borderId="10" xfId="3" applyNumberFormat="1" applyFont="1" applyFill="1" applyBorder="1" applyAlignment="1" applyProtection="1">
      <alignment horizontal="center" vertical="center"/>
    </xf>
    <xf numFmtId="0" fontId="9" fillId="4" borderId="1" xfId="0" applyFont="1" applyFill="1" applyBorder="1" applyAlignment="1">
      <alignment vertical="center"/>
    </xf>
    <xf numFmtId="49" fontId="9" fillId="4" borderId="1" xfId="0" applyNumberFormat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left" vertical="center"/>
    </xf>
    <xf numFmtId="0" fontId="9" fillId="4" borderId="1" xfId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1" fillId="4" borderId="1" xfId="0" quotePrefix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vertical="center" wrapText="1"/>
    </xf>
    <xf numFmtId="0" fontId="10" fillId="4" borderId="1" xfId="0" quotePrefix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0" fontId="11" fillId="4" borderId="1" xfId="0" quotePrefix="1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4" borderId="15" xfId="0" applyFont="1" applyFill="1" applyBorder="1" applyAlignment="1">
      <alignment vertical="center"/>
    </xf>
    <xf numFmtId="0" fontId="3" fillId="4" borderId="16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17" xfId="0" applyFont="1" applyFill="1" applyBorder="1" applyAlignment="1">
      <alignment vertical="center"/>
    </xf>
    <xf numFmtId="1" fontId="14" fillId="0" borderId="6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9" fillId="0" borderId="1" xfId="0" quotePrefix="1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1" fontId="14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/>
    <xf numFmtId="0" fontId="1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quotePrefix="1" applyFont="1" applyFill="1" applyBorder="1" applyAlignment="1">
      <alignment horizontal="center" vertical="center" wrapText="1"/>
    </xf>
    <xf numFmtId="1" fontId="3" fillId="4" borderId="11" xfId="0" applyNumberFormat="1" applyFont="1" applyFill="1" applyBorder="1" applyAlignment="1">
      <alignment horizontal="center" vertical="center"/>
    </xf>
    <xf numFmtId="0" fontId="1" fillId="4" borderId="19" xfId="1" applyFont="1" applyFill="1" applyBorder="1" applyAlignment="1" applyProtection="1">
      <alignment horizontal="left" vertical="center"/>
    </xf>
    <xf numFmtId="1" fontId="1" fillId="4" borderId="20" xfId="1" applyNumberFormat="1" applyFont="1" applyFill="1" applyBorder="1" applyAlignment="1" applyProtection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1" fontId="3" fillId="4" borderId="21" xfId="0" applyNumberFormat="1" applyFont="1" applyFill="1" applyBorder="1" applyAlignment="1">
      <alignment horizontal="center" vertical="center"/>
    </xf>
    <xf numFmtId="1" fontId="3" fillId="4" borderId="16" xfId="0" applyNumberFormat="1" applyFont="1" applyFill="1" applyBorder="1" applyAlignment="1">
      <alignment horizontal="center" vertical="center"/>
    </xf>
    <xf numFmtId="0" fontId="1" fillId="4" borderId="22" xfId="1" applyFont="1" applyFill="1" applyBorder="1" applyAlignment="1" applyProtection="1">
      <alignment horizontal="left" vertical="center"/>
    </xf>
    <xf numFmtId="1" fontId="1" fillId="4" borderId="23" xfId="1" applyNumberFormat="1" applyFont="1" applyFill="1" applyBorder="1" applyAlignment="1" applyProtection="1">
      <alignment horizontal="center" vertical="center"/>
    </xf>
    <xf numFmtId="0" fontId="4" fillId="4" borderId="24" xfId="0" applyFont="1" applyFill="1" applyBorder="1" applyAlignment="1">
      <alignment horizontal="center" vertical="center" wrapText="1"/>
    </xf>
    <xf numFmtId="1" fontId="3" fillId="4" borderId="3" xfId="0" applyNumberFormat="1" applyFont="1" applyFill="1" applyBorder="1" applyAlignment="1">
      <alignment horizontal="center" vertical="center"/>
    </xf>
    <xf numFmtId="0" fontId="1" fillId="0" borderId="1" xfId="1" applyFont="1" applyFill="1" applyBorder="1" applyAlignment="1" applyProtection="1">
      <alignment horizontal="left" vertical="center"/>
    </xf>
    <xf numFmtId="1" fontId="1" fillId="0" borderId="1" xfId="1" applyNumberFormat="1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10" fillId="0" borderId="1" xfId="0" quotePrefix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top"/>
    </xf>
    <xf numFmtId="0" fontId="2" fillId="0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5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3" xr:uid="{00000000-0005-0000-0000-000002000000}"/>
    <cellStyle name="Normal 4" xfId="2" xr:uid="{00000000-0005-0000-0000-000003000000}"/>
  </cellStyles>
  <dxfs count="28">
    <dxf>
      <font>
        <b/>
        <i val="0"/>
        <condense val="0"/>
        <extend val="0"/>
        <color indexed="9"/>
      </font>
      <fill>
        <patternFill>
          <bgColor indexed="12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/>
        <condense val="0"/>
        <extend val="0"/>
        <color indexed="12"/>
      </font>
    </dxf>
    <dxf>
      <font>
        <b/>
        <i/>
        <condense val="0"/>
        <extend val="0"/>
        <color indexed="10"/>
      </font>
    </dxf>
    <dxf>
      <font>
        <b/>
        <i val="0"/>
        <condense val="0"/>
        <extend val="0"/>
        <color indexed="9"/>
      </font>
      <fill>
        <patternFill>
          <bgColor indexed="12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/>
        <condense val="0"/>
        <extend val="0"/>
        <color indexed="12"/>
      </font>
    </dxf>
    <dxf>
      <font>
        <b/>
        <i/>
        <condense val="0"/>
        <extend val="0"/>
        <color indexed="10"/>
      </font>
    </dxf>
    <dxf>
      <font>
        <b/>
        <i val="0"/>
        <condense val="0"/>
        <extend val="0"/>
        <color indexed="9"/>
      </font>
      <fill>
        <patternFill>
          <bgColor indexed="12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/>
        <condense val="0"/>
        <extend val="0"/>
        <color indexed="12"/>
      </font>
    </dxf>
    <dxf>
      <font>
        <b/>
        <i/>
        <condense val="0"/>
        <extend val="0"/>
        <color indexed="10"/>
      </font>
    </dxf>
    <dxf>
      <font>
        <b/>
        <i val="0"/>
        <condense val="0"/>
        <extend val="0"/>
        <color indexed="9"/>
      </font>
      <fill>
        <patternFill>
          <bgColor indexed="12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/>
        <condense val="0"/>
        <extend val="0"/>
        <color indexed="12"/>
      </font>
    </dxf>
    <dxf>
      <font>
        <b/>
        <i/>
        <condense val="0"/>
        <extend val="0"/>
        <color indexed="10"/>
      </font>
    </dxf>
    <dxf>
      <font>
        <b/>
        <i val="0"/>
        <condense val="0"/>
        <extend val="0"/>
        <color indexed="9"/>
      </font>
      <fill>
        <patternFill>
          <bgColor indexed="12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/>
        <condense val="0"/>
        <extend val="0"/>
        <color indexed="12"/>
      </font>
    </dxf>
    <dxf>
      <font>
        <b/>
        <i/>
        <condense val="0"/>
        <extend val="0"/>
        <color indexed="10"/>
      </font>
    </dxf>
    <dxf>
      <font>
        <b/>
        <i val="0"/>
        <condense val="0"/>
        <extend val="0"/>
        <color indexed="9"/>
      </font>
      <fill>
        <patternFill>
          <bgColor indexed="12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zoomScale="85" zoomScaleNormal="85" workbookViewId="0">
      <selection activeCell="A4" sqref="A4:L5"/>
    </sheetView>
  </sheetViews>
  <sheetFormatPr defaultRowHeight="15.75" x14ac:dyDescent="0.25"/>
  <cols>
    <col min="1" max="1" width="6.85546875" style="2" customWidth="1"/>
    <col min="2" max="2" width="35.140625" style="2" bestFit="1" customWidth="1"/>
    <col min="3" max="3" width="20.7109375" style="2" bestFit="1" customWidth="1"/>
    <col min="4" max="4" width="66.42578125" style="2" customWidth="1"/>
    <col min="5" max="5" width="9.7109375" style="5" customWidth="1"/>
    <col min="6" max="7" width="8.7109375" style="5" customWidth="1"/>
    <col min="8" max="8" width="11.5703125" style="5" bestFit="1" customWidth="1"/>
    <col min="9" max="9" width="11.85546875" style="5" bestFit="1" customWidth="1"/>
    <col min="10" max="10" width="10.85546875" style="5" bestFit="1" customWidth="1"/>
    <col min="11" max="11" width="10.7109375" style="5" customWidth="1"/>
    <col min="12" max="13" width="9.140625" style="2"/>
    <col min="14" max="14" width="10" style="2" bestFit="1" customWidth="1"/>
    <col min="15" max="16384" width="9.140625" style="2"/>
  </cols>
  <sheetData>
    <row r="1" spans="1:17" ht="24.95" customHeight="1" x14ac:dyDescent="0.25">
      <c r="A1" s="119" t="s">
        <v>13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7" ht="24.95" customHeight="1" x14ac:dyDescent="0.25">
      <c r="A2" s="119" t="s">
        <v>62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</row>
    <row r="3" spans="1:17" ht="34.5" customHeight="1" x14ac:dyDescent="0.25">
      <c r="A3" s="119" t="s">
        <v>63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</row>
    <row r="4" spans="1:17" ht="20.100000000000001" customHeight="1" x14ac:dyDescent="0.25">
      <c r="D4"/>
      <c r="E4" s="115" t="s">
        <v>3</v>
      </c>
      <c r="F4" s="115"/>
      <c r="G4" s="115"/>
      <c r="H4" s="115" t="s">
        <v>4</v>
      </c>
      <c r="I4" s="115"/>
      <c r="J4" s="115"/>
      <c r="K4" s="29" t="s">
        <v>0</v>
      </c>
      <c r="L4" s="111" t="s">
        <v>349</v>
      </c>
    </row>
    <row r="5" spans="1:17" ht="20.100000000000001" customHeight="1" x14ac:dyDescent="0.25">
      <c r="A5" s="132" t="s">
        <v>1</v>
      </c>
      <c r="B5" s="131" t="s">
        <v>2</v>
      </c>
      <c r="C5" s="131" t="s">
        <v>16</v>
      </c>
      <c r="D5" t="s">
        <v>350</v>
      </c>
      <c r="E5" s="30" t="s">
        <v>5</v>
      </c>
      <c r="F5" s="31" t="s">
        <v>6</v>
      </c>
      <c r="G5" s="31" t="s">
        <v>7</v>
      </c>
      <c r="H5" s="30" t="s">
        <v>8</v>
      </c>
      <c r="I5" s="31" t="s">
        <v>9</v>
      </c>
      <c r="J5" s="31" t="s">
        <v>10</v>
      </c>
      <c r="K5" s="104" t="s">
        <v>0</v>
      </c>
      <c r="L5" s="112"/>
    </row>
    <row r="6" spans="1:17" ht="39.950000000000003" customHeight="1" x14ac:dyDescent="0.25">
      <c r="A6" s="54">
        <v>1</v>
      </c>
      <c r="B6" s="55" t="s">
        <v>285</v>
      </c>
      <c r="C6" s="56">
        <v>2022213010001</v>
      </c>
      <c r="D6" s="57" t="s">
        <v>284</v>
      </c>
      <c r="E6" s="71"/>
      <c r="F6" s="72"/>
      <c r="G6" s="72"/>
      <c r="H6" s="72"/>
      <c r="I6" s="72"/>
      <c r="J6" s="73"/>
      <c r="K6" s="58">
        <f>SUM(H6:J6)*10/3</f>
        <v>0</v>
      </c>
      <c r="L6" s="105" t="str">
        <f>VLOOKUP(K6,$O$10:$P$13,2,1)</f>
        <v>D</v>
      </c>
    </row>
    <row r="7" spans="1:17" ht="39.950000000000003" customHeight="1" x14ac:dyDescent="0.25">
      <c r="A7" s="54">
        <v>2</v>
      </c>
      <c r="B7" s="55" t="s">
        <v>286</v>
      </c>
      <c r="C7" s="56">
        <v>2022213010036</v>
      </c>
      <c r="D7" s="57" t="s">
        <v>284</v>
      </c>
      <c r="E7" s="74"/>
      <c r="F7" s="75"/>
      <c r="G7" s="75"/>
      <c r="H7" s="75"/>
      <c r="I7" s="75"/>
      <c r="J7" s="76"/>
      <c r="K7" s="58">
        <f t="shared" ref="K7:K29" si="0">SUM(H7:J7)*10/3</f>
        <v>0</v>
      </c>
      <c r="L7" s="105" t="str">
        <f t="shared" ref="L7:L29" si="1">VLOOKUP(K7,$O$10:$P$13,2,1)</f>
        <v>D</v>
      </c>
    </row>
    <row r="8" spans="1:17" ht="39.950000000000003" customHeight="1" x14ac:dyDescent="0.25">
      <c r="A8" s="54">
        <v>3</v>
      </c>
      <c r="B8" s="55" t="s">
        <v>287</v>
      </c>
      <c r="C8" s="56">
        <v>2022213010037</v>
      </c>
      <c r="D8" s="57" t="s">
        <v>284</v>
      </c>
      <c r="E8" s="74"/>
      <c r="F8" s="75"/>
      <c r="G8" s="75"/>
      <c r="H8" s="75"/>
      <c r="I8" s="75"/>
      <c r="J8" s="76"/>
      <c r="K8" s="58">
        <f t="shared" si="0"/>
        <v>0</v>
      </c>
      <c r="L8" s="105" t="str">
        <f t="shared" si="1"/>
        <v>D</v>
      </c>
    </row>
    <row r="9" spans="1:17" ht="39.950000000000003" customHeight="1" x14ac:dyDescent="0.25">
      <c r="A9" s="54">
        <v>4</v>
      </c>
      <c r="B9" s="55" t="s">
        <v>288</v>
      </c>
      <c r="C9" s="56">
        <v>2022213010006</v>
      </c>
      <c r="D9" s="57" t="s">
        <v>284</v>
      </c>
      <c r="E9" s="74"/>
      <c r="F9" s="75"/>
      <c r="G9" s="75"/>
      <c r="H9" s="75"/>
      <c r="I9" s="75"/>
      <c r="J9" s="76"/>
      <c r="K9" s="58">
        <f t="shared" si="0"/>
        <v>0</v>
      </c>
      <c r="L9" s="105" t="str">
        <f t="shared" si="1"/>
        <v>D</v>
      </c>
      <c r="N9" s="105" t="s">
        <v>336</v>
      </c>
      <c r="O9" s="105" t="s">
        <v>337</v>
      </c>
      <c r="P9" s="105" t="s">
        <v>338</v>
      </c>
      <c r="Q9" s="105" t="s">
        <v>339</v>
      </c>
    </row>
    <row r="10" spans="1:17" s="19" customFormat="1" ht="39.950000000000003" customHeight="1" x14ac:dyDescent="0.25">
      <c r="A10" s="10">
        <v>5</v>
      </c>
      <c r="B10" s="50" t="s">
        <v>289</v>
      </c>
      <c r="C10" s="51">
        <v>2022213010008</v>
      </c>
      <c r="D10" s="9" t="s">
        <v>284</v>
      </c>
      <c r="E10" s="11">
        <v>9</v>
      </c>
      <c r="F10" s="11">
        <v>10</v>
      </c>
      <c r="G10" s="11">
        <v>16</v>
      </c>
      <c r="H10" s="11">
        <v>32</v>
      </c>
      <c r="I10" s="11">
        <v>33</v>
      </c>
      <c r="J10" s="11">
        <v>36</v>
      </c>
      <c r="K10" s="12">
        <f t="shared" si="0"/>
        <v>336.66666666666669</v>
      </c>
      <c r="L10" s="105" t="str">
        <f t="shared" si="1"/>
        <v>D</v>
      </c>
      <c r="N10" s="106" t="s">
        <v>340</v>
      </c>
      <c r="O10" s="105">
        <v>0</v>
      </c>
      <c r="P10" s="105" t="s">
        <v>341</v>
      </c>
      <c r="Q10" s="105">
        <f>COUNTIF($L$6:$L$34,"D")</f>
        <v>24</v>
      </c>
    </row>
    <row r="11" spans="1:17" ht="39.950000000000003" customHeight="1" x14ac:dyDescent="0.25">
      <c r="A11" s="54">
        <v>6</v>
      </c>
      <c r="B11" s="55" t="s">
        <v>290</v>
      </c>
      <c r="C11" s="56">
        <v>2022213010011</v>
      </c>
      <c r="D11" s="57" t="s">
        <v>284</v>
      </c>
      <c r="E11" s="74"/>
      <c r="F11" s="75"/>
      <c r="G11" s="75"/>
      <c r="H11" s="75"/>
      <c r="I11" s="75"/>
      <c r="J11" s="76"/>
      <c r="K11" s="58">
        <f t="shared" si="0"/>
        <v>0</v>
      </c>
      <c r="L11" s="105" t="str">
        <f t="shared" si="1"/>
        <v>D</v>
      </c>
      <c r="N11" s="106" t="s">
        <v>342</v>
      </c>
      <c r="O11" s="105">
        <v>400</v>
      </c>
      <c r="P11" s="105" t="s">
        <v>343</v>
      </c>
      <c r="Q11" s="105">
        <f>COUNTIF($L$6:$L$34,"C")</f>
        <v>0</v>
      </c>
    </row>
    <row r="12" spans="1:17" ht="39.950000000000003" customHeight="1" x14ac:dyDescent="0.25">
      <c r="A12" s="54">
        <v>7</v>
      </c>
      <c r="B12" s="55" t="s">
        <v>291</v>
      </c>
      <c r="C12" s="56">
        <v>2022213010013</v>
      </c>
      <c r="D12" s="57" t="s">
        <v>284</v>
      </c>
      <c r="E12" s="77"/>
      <c r="F12" s="78"/>
      <c r="G12" s="78"/>
      <c r="H12" s="78"/>
      <c r="I12" s="78"/>
      <c r="J12" s="79"/>
      <c r="K12" s="58">
        <f t="shared" si="0"/>
        <v>0</v>
      </c>
      <c r="L12" s="105" t="str">
        <f t="shared" si="1"/>
        <v>D</v>
      </c>
      <c r="N12" s="106" t="s">
        <v>344</v>
      </c>
      <c r="O12" s="105">
        <v>450</v>
      </c>
      <c r="P12" s="105" t="s">
        <v>345</v>
      </c>
      <c r="Q12" s="105">
        <f>COUNTIF($L$6:$L$34,"B")</f>
        <v>0</v>
      </c>
    </row>
    <row r="13" spans="1:17" ht="39.950000000000003" customHeight="1" x14ac:dyDescent="0.25">
      <c r="A13" s="10">
        <v>8</v>
      </c>
      <c r="B13" s="50" t="s">
        <v>292</v>
      </c>
      <c r="C13" s="51">
        <v>2022213010039</v>
      </c>
      <c r="D13" s="9" t="s">
        <v>284</v>
      </c>
      <c r="E13" s="11">
        <v>9</v>
      </c>
      <c r="F13" s="11">
        <v>13</v>
      </c>
      <c r="G13" s="11">
        <v>15</v>
      </c>
      <c r="H13" s="24">
        <v>32</v>
      </c>
      <c r="I13" s="24">
        <v>37</v>
      </c>
      <c r="J13" s="24">
        <v>35</v>
      </c>
      <c r="K13" s="12">
        <f t="shared" si="0"/>
        <v>346.66666666666669</v>
      </c>
      <c r="L13" s="105" t="str">
        <f t="shared" si="1"/>
        <v>D</v>
      </c>
      <c r="N13" s="106" t="s">
        <v>346</v>
      </c>
      <c r="O13" s="105">
        <v>500</v>
      </c>
      <c r="P13" s="105" t="s">
        <v>347</v>
      </c>
      <c r="Q13" s="105">
        <f>COUNTIF($L$6:$L$34,"A")</f>
        <v>0</v>
      </c>
    </row>
    <row r="14" spans="1:17" s="19" customFormat="1" ht="39.950000000000003" customHeight="1" x14ac:dyDescent="0.25">
      <c r="A14" s="10">
        <v>9</v>
      </c>
      <c r="B14" s="50" t="s">
        <v>293</v>
      </c>
      <c r="C14" s="51">
        <v>2022213010032</v>
      </c>
      <c r="D14" s="9" t="s">
        <v>284</v>
      </c>
      <c r="E14" s="11">
        <v>10</v>
      </c>
      <c r="F14" s="11">
        <v>10</v>
      </c>
      <c r="G14" s="11">
        <v>13</v>
      </c>
      <c r="H14" s="11">
        <v>33</v>
      </c>
      <c r="I14" s="11">
        <v>33</v>
      </c>
      <c r="J14" s="11">
        <v>32</v>
      </c>
      <c r="K14" s="12">
        <f t="shared" si="0"/>
        <v>326.66666666666669</v>
      </c>
      <c r="L14" s="105" t="str">
        <f t="shared" si="1"/>
        <v>D</v>
      </c>
      <c r="N14" s="108" t="s">
        <v>348</v>
      </c>
      <c r="O14" s="109"/>
      <c r="P14" s="110"/>
      <c r="Q14" s="107">
        <f>SUM(Q10:Q13)</f>
        <v>24</v>
      </c>
    </row>
    <row r="15" spans="1:17" ht="39.950000000000003" customHeight="1" x14ac:dyDescent="0.25">
      <c r="A15" s="54">
        <v>10</v>
      </c>
      <c r="B15" s="55" t="s">
        <v>294</v>
      </c>
      <c r="C15" s="56">
        <v>2022213010041</v>
      </c>
      <c r="D15" s="57" t="s">
        <v>284</v>
      </c>
      <c r="E15" s="116"/>
      <c r="F15" s="117"/>
      <c r="G15" s="117"/>
      <c r="H15" s="117"/>
      <c r="I15" s="117"/>
      <c r="J15" s="118"/>
      <c r="K15" s="58">
        <f t="shared" si="0"/>
        <v>0</v>
      </c>
      <c r="L15" s="105" t="str">
        <f t="shared" si="1"/>
        <v>D</v>
      </c>
    </row>
    <row r="16" spans="1:17" ht="39.950000000000003" customHeight="1" x14ac:dyDescent="0.25">
      <c r="A16" s="10">
        <v>11</v>
      </c>
      <c r="B16" s="50" t="s">
        <v>295</v>
      </c>
      <c r="C16" s="51">
        <v>2022213010033</v>
      </c>
      <c r="D16" s="9" t="s">
        <v>284</v>
      </c>
      <c r="E16" s="11">
        <v>15</v>
      </c>
      <c r="F16" s="11">
        <v>13</v>
      </c>
      <c r="G16" s="11">
        <v>10</v>
      </c>
      <c r="H16" s="24">
        <v>41</v>
      </c>
      <c r="I16" s="24">
        <v>37</v>
      </c>
      <c r="J16" s="24">
        <v>29</v>
      </c>
      <c r="K16" s="12">
        <f t="shared" si="0"/>
        <v>356.66666666666669</v>
      </c>
      <c r="L16" s="105" t="str">
        <f t="shared" si="1"/>
        <v>D</v>
      </c>
    </row>
    <row r="17" spans="1:12" ht="39.950000000000003" customHeight="1" x14ac:dyDescent="0.25">
      <c r="A17" s="54">
        <v>12</v>
      </c>
      <c r="B17" s="55" t="s">
        <v>296</v>
      </c>
      <c r="C17" s="56">
        <v>2022213010015</v>
      </c>
      <c r="D17" s="57" t="s">
        <v>284</v>
      </c>
      <c r="E17" s="71"/>
      <c r="F17" s="72"/>
      <c r="G17" s="72"/>
      <c r="H17" s="72"/>
      <c r="I17" s="72"/>
      <c r="J17" s="73"/>
      <c r="K17" s="58">
        <f t="shared" si="0"/>
        <v>0</v>
      </c>
      <c r="L17" s="105" t="str">
        <f t="shared" si="1"/>
        <v>D</v>
      </c>
    </row>
    <row r="18" spans="1:12" s="19" customFormat="1" ht="39.950000000000003" customHeight="1" x14ac:dyDescent="0.25">
      <c r="A18" s="10">
        <v>13</v>
      </c>
      <c r="B18" s="50" t="s">
        <v>297</v>
      </c>
      <c r="C18" s="51">
        <v>2022213010042</v>
      </c>
      <c r="D18" s="9" t="s">
        <v>284</v>
      </c>
      <c r="E18" s="11">
        <v>11</v>
      </c>
      <c r="F18" s="11">
        <v>17</v>
      </c>
      <c r="G18" s="11">
        <v>16</v>
      </c>
      <c r="H18" s="11">
        <v>35</v>
      </c>
      <c r="I18" s="11">
        <v>41</v>
      </c>
      <c r="J18" s="11">
        <v>36</v>
      </c>
      <c r="K18" s="12">
        <f t="shared" si="0"/>
        <v>373.33333333333331</v>
      </c>
      <c r="L18" s="105" t="str">
        <f t="shared" si="1"/>
        <v>D</v>
      </c>
    </row>
    <row r="19" spans="1:12" ht="39.950000000000003" customHeight="1" x14ac:dyDescent="0.25">
      <c r="A19" s="54">
        <v>14</v>
      </c>
      <c r="B19" s="55" t="s">
        <v>298</v>
      </c>
      <c r="C19" s="56">
        <v>2022213010017</v>
      </c>
      <c r="D19" s="57" t="s">
        <v>284</v>
      </c>
      <c r="E19" s="74"/>
      <c r="F19" s="75"/>
      <c r="G19" s="75"/>
      <c r="H19" s="75"/>
      <c r="I19" s="75"/>
      <c r="J19" s="76"/>
      <c r="K19" s="58">
        <f t="shared" si="0"/>
        <v>0</v>
      </c>
      <c r="L19" s="105" t="str">
        <f t="shared" si="1"/>
        <v>D</v>
      </c>
    </row>
    <row r="20" spans="1:12" ht="39.950000000000003" customHeight="1" x14ac:dyDescent="0.25">
      <c r="A20" s="89">
        <v>15</v>
      </c>
      <c r="B20" s="90" t="s">
        <v>299</v>
      </c>
      <c r="C20" s="91">
        <v>2022213010044</v>
      </c>
      <c r="D20" s="92" t="s">
        <v>284</v>
      </c>
      <c r="E20" s="74"/>
      <c r="F20" s="75"/>
      <c r="G20" s="75"/>
      <c r="H20" s="75"/>
      <c r="I20" s="75"/>
      <c r="J20" s="76"/>
      <c r="K20" s="93">
        <f t="shared" si="0"/>
        <v>0</v>
      </c>
      <c r="L20" s="105" t="str">
        <f t="shared" si="1"/>
        <v>D</v>
      </c>
    </row>
    <row r="21" spans="1:12" s="15" customFormat="1" ht="39.950000000000003" customHeight="1" x14ac:dyDescent="0.25">
      <c r="A21" s="12">
        <v>16</v>
      </c>
      <c r="B21" s="99" t="s">
        <v>300</v>
      </c>
      <c r="C21" s="100">
        <v>2022213010046</v>
      </c>
      <c r="D21" s="101" t="s">
        <v>284</v>
      </c>
      <c r="E21" s="11">
        <v>9</v>
      </c>
      <c r="F21" s="11">
        <v>16</v>
      </c>
      <c r="G21" s="11">
        <v>15</v>
      </c>
      <c r="H21" s="11">
        <v>32</v>
      </c>
      <c r="I21" s="11">
        <v>40</v>
      </c>
      <c r="J21" s="11">
        <v>35</v>
      </c>
      <c r="K21" s="12">
        <f t="shared" si="0"/>
        <v>356.66666666666669</v>
      </c>
      <c r="L21" s="105" t="str">
        <f t="shared" si="1"/>
        <v>D</v>
      </c>
    </row>
    <row r="22" spans="1:12" ht="39.950000000000003" customHeight="1" x14ac:dyDescent="0.25">
      <c r="A22" s="94">
        <v>17</v>
      </c>
      <c r="B22" s="95" t="s">
        <v>301</v>
      </c>
      <c r="C22" s="96">
        <v>2022213010048</v>
      </c>
      <c r="D22" s="97" t="s">
        <v>284</v>
      </c>
      <c r="E22" s="74"/>
      <c r="F22" s="75"/>
      <c r="G22" s="75"/>
      <c r="H22" s="75"/>
      <c r="I22" s="75"/>
      <c r="J22" s="76"/>
      <c r="K22" s="98">
        <f t="shared" si="0"/>
        <v>0</v>
      </c>
      <c r="L22" s="105" t="str">
        <f t="shared" si="1"/>
        <v>D</v>
      </c>
    </row>
    <row r="23" spans="1:12" ht="39.950000000000003" customHeight="1" x14ac:dyDescent="0.25">
      <c r="A23" s="54">
        <v>18</v>
      </c>
      <c r="B23" s="55" t="s">
        <v>302</v>
      </c>
      <c r="C23" s="56">
        <v>2022213010020</v>
      </c>
      <c r="D23" s="57" t="s">
        <v>284</v>
      </c>
      <c r="E23" s="74"/>
      <c r="F23" s="75"/>
      <c r="G23" s="75"/>
      <c r="H23" s="75"/>
      <c r="I23" s="75"/>
      <c r="J23" s="76"/>
      <c r="K23" s="58">
        <f t="shared" si="0"/>
        <v>0</v>
      </c>
      <c r="L23" s="105" t="str">
        <f t="shared" si="1"/>
        <v>D</v>
      </c>
    </row>
    <row r="24" spans="1:12" s="19" customFormat="1" ht="39.950000000000003" customHeight="1" x14ac:dyDescent="0.25">
      <c r="A24" s="10">
        <v>19</v>
      </c>
      <c r="B24" s="50" t="s">
        <v>303</v>
      </c>
      <c r="C24" s="51">
        <v>2022213010021</v>
      </c>
      <c r="D24" s="9" t="s">
        <v>284</v>
      </c>
      <c r="E24" s="11">
        <v>10</v>
      </c>
      <c r="F24" s="11">
        <v>11</v>
      </c>
      <c r="G24" s="11">
        <v>14</v>
      </c>
      <c r="H24" s="11">
        <v>33</v>
      </c>
      <c r="I24" s="11">
        <v>35</v>
      </c>
      <c r="J24" s="11">
        <v>34</v>
      </c>
      <c r="K24" s="12">
        <f t="shared" si="0"/>
        <v>340</v>
      </c>
      <c r="L24" s="105" t="str">
        <f t="shared" si="1"/>
        <v>D</v>
      </c>
    </row>
    <row r="25" spans="1:12" ht="39.950000000000003" customHeight="1" x14ac:dyDescent="0.25">
      <c r="A25" s="54">
        <v>20</v>
      </c>
      <c r="B25" s="55" t="s">
        <v>304</v>
      </c>
      <c r="C25" s="56">
        <v>2022213010025</v>
      </c>
      <c r="D25" s="57" t="s">
        <v>284</v>
      </c>
      <c r="E25" s="74"/>
      <c r="F25" s="75"/>
      <c r="G25" s="75"/>
      <c r="H25" s="75"/>
      <c r="I25" s="75"/>
      <c r="J25" s="76"/>
      <c r="K25" s="58">
        <f t="shared" si="0"/>
        <v>0</v>
      </c>
      <c r="L25" s="105" t="str">
        <f t="shared" si="1"/>
        <v>D</v>
      </c>
    </row>
    <row r="26" spans="1:12" s="19" customFormat="1" ht="39.950000000000003" customHeight="1" x14ac:dyDescent="0.25">
      <c r="A26" s="10">
        <v>21</v>
      </c>
      <c r="B26" s="50" t="s">
        <v>305</v>
      </c>
      <c r="C26" s="51">
        <v>2022213010027</v>
      </c>
      <c r="D26" s="9" t="s">
        <v>284</v>
      </c>
      <c r="E26" s="11">
        <v>10</v>
      </c>
      <c r="F26" s="11">
        <v>7</v>
      </c>
      <c r="G26" s="11">
        <v>11</v>
      </c>
      <c r="H26" s="11">
        <v>33</v>
      </c>
      <c r="I26" s="11">
        <v>27</v>
      </c>
      <c r="J26" s="11">
        <v>30</v>
      </c>
      <c r="K26" s="12">
        <f t="shared" si="0"/>
        <v>300</v>
      </c>
      <c r="L26" s="105" t="str">
        <f t="shared" si="1"/>
        <v>D</v>
      </c>
    </row>
    <row r="27" spans="1:12" s="19" customFormat="1" ht="39.950000000000003" customHeight="1" x14ac:dyDescent="0.25">
      <c r="A27" s="10">
        <v>22</v>
      </c>
      <c r="B27" s="50" t="s">
        <v>306</v>
      </c>
      <c r="C27" s="51">
        <v>2022213010034</v>
      </c>
      <c r="D27" s="9" t="s">
        <v>284</v>
      </c>
      <c r="E27" s="11">
        <v>9</v>
      </c>
      <c r="F27" s="11">
        <v>10</v>
      </c>
      <c r="G27" s="11">
        <v>15</v>
      </c>
      <c r="H27" s="11">
        <v>32</v>
      </c>
      <c r="I27" s="11">
        <v>33</v>
      </c>
      <c r="J27" s="11">
        <v>35</v>
      </c>
      <c r="K27" s="12">
        <f t="shared" si="0"/>
        <v>333.33333333333331</v>
      </c>
      <c r="L27" s="105" t="str">
        <f t="shared" si="1"/>
        <v>D</v>
      </c>
    </row>
    <row r="28" spans="1:12" ht="39.950000000000003" customHeight="1" x14ac:dyDescent="0.25">
      <c r="A28" s="10">
        <v>23</v>
      </c>
      <c r="B28" s="50" t="s">
        <v>307</v>
      </c>
      <c r="C28" s="51">
        <v>2022213010029</v>
      </c>
      <c r="D28" s="9" t="s">
        <v>284</v>
      </c>
      <c r="E28" s="11">
        <v>14</v>
      </c>
      <c r="F28" s="11">
        <v>11</v>
      </c>
      <c r="G28" s="11">
        <v>14</v>
      </c>
      <c r="H28" s="24">
        <v>39</v>
      </c>
      <c r="I28" s="24">
        <v>35</v>
      </c>
      <c r="J28" s="24">
        <v>34</v>
      </c>
      <c r="K28" s="12">
        <f t="shared" si="0"/>
        <v>360</v>
      </c>
      <c r="L28" s="105" t="str">
        <f t="shared" si="1"/>
        <v>D</v>
      </c>
    </row>
    <row r="29" spans="1:12" ht="39.950000000000003" customHeight="1" x14ac:dyDescent="0.25">
      <c r="A29" s="54">
        <v>24</v>
      </c>
      <c r="B29" s="55" t="s">
        <v>308</v>
      </c>
      <c r="C29" s="56">
        <v>2022213010053</v>
      </c>
      <c r="D29" s="57" t="s">
        <v>284</v>
      </c>
      <c r="E29" s="116"/>
      <c r="F29" s="117"/>
      <c r="G29" s="117"/>
      <c r="H29" s="117"/>
      <c r="I29" s="117"/>
      <c r="J29" s="118"/>
      <c r="K29" s="58">
        <f t="shared" si="0"/>
        <v>0</v>
      </c>
      <c r="L29" s="105" t="str">
        <f t="shared" si="1"/>
        <v>D</v>
      </c>
    </row>
    <row r="30" spans="1:12" ht="54.95" customHeight="1" x14ac:dyDescent="0.3">
      <c r="A30" s="14"/>
      <c r="B30" s="15"/>
      <c r="C30" s="15"/>
      <c r="D30" s="14"/>
      <c r="E30" s="16"/>
      <c r="F30" s="114"/>
      <c r="G30" s="114"/>
      <c r="H30" s="120" t="s">
        <v>14</v>
      </c>
      <c r="I30" s="120"/>
      <c r="J30" s="120"/>
      <c r="K30" s="120"/>
    </row>
    <row r="31" spans="1:12" ht="84.95" customHeight="1" x14ac:dyDescent="0.3">
      <c r="A31" s="14"/>
      <c r="B31" s="15"/>
      <c r="C31" s="15"/>
      <c r="D31" s="14"/>
      <c r="E31" s="16"/>
      <c r="F31" s="17"/>
      <c r="G31" s="16"/>
      <c r="H31" s="121" t="s">
        <v>11</v>
      </c>
      <c r="I31" s="121"/>
      <c r="J31" s="121"/>
      <c r="K31" s="121"/>
    </row>
    <row r="32" spans="1:12" ht="22.5" customHeight="1" x14ac:dyDescent="0.25">
      <c r="A32" s="14"/>
      <c r="B32" s="15"/>
      <c r="C32" s="15"/>
      <c r="D32" s="14"/>
      <c r="E32" s="16"/>
      <c r="F32" s="17"/>
      <c r="G32" s="17"/>
      <c r="H32" s="113" t="s">
        <v>12</v>
      </c>
      <c r="I32" s="113"/>
      <c r="J32" s="113"/>
      <c r="K32" s="113"/>
    </row>
    <row r="33" spans="1:11" ht="24.95" customHeight="1" x14ac:dyDescent="0.25">
      <c r="A33" s="3"/>
      <c r="B33" s="4"/>
      <c r="C33" s="4"/>
      <c r="D33" s="3"/>
      <c r="E33" s="7"/>
      <c r="F33" s="7"/>
      <c r="G33" s="7"/>
      <c r="H33" s="7"/>
      <c r="I33" s="7"/>
      <c r="J33" s="7"/>
    </row>
    <row r="34" spans="1:11" ht="24.95" customHeight="1" x14ac:dyDescent="0.25"/>
    <row r="35" spans="1:11" ht="24.75" customHeight="1" x14ac:dyDescent="0.25"/>
    <row r="36" spans="1:11" ht="24.95" customHeight="1" x14ac:dyDescent="0.25"/>
    <row r="37" spans="1:11" ht="24" customHeight="1" x14ac:dyDescent="0.25"/>
    <row r="38" spans="1:11" ht="24" customHeight="1" x14ac:dyDescent="0.25"/>
    <row r="39" spans="1:11" ht="18.75" customHeight="1" x14ac:dyDescent="0.25"/>
    <row r="40" spans="1:11" ht="22.5" customHeight="1" x14ac:dyDescent="0.25"/>
    <row r="41" spans="1:11" ht="24.75" customHeight="1" x14ac:dyDescent="0.25"/>
    <row r="42" spans="1:11" ht="23.25" customHeight="1" x14ac:dyDescent="0.25"/>
    <row r="43" spans="1:11" ht="23.25" customHeight="1" x14ac:dyDescent="0.25">
      <c r="E43" s="2"/>
      <c r="F43" s="2"/>
      <c r="G43" s="2"/>
      <c r="H43" s="2"/>
      <c r="I43" s="2"/>
      <c r="J43" s="2"/>
      <c r="K43" s="2"/>
    </row>
    <row r="44" spans="1:11" ht="23.25" customHeight="1" x14ac:dyDescent="0.25">
      <c r="E44" s="2"/>
      <c r="F44" s="2"/>
      <c r="G44" s="2"/>
      <c r="H44" s="2"/>
      <c r="I44" s="2"/>
      <c r="J44" s="2"/>
      <c r="K44" s="2"/>
    </row>
    <row r="45" spans="1:11" ht="23.25" customHeight="1" x14ac:dyDescent="0.25">
      <c r="E45" s="2"/>
      <c r="F45" s="2"/>
      <c r="G45" s="2"/>
      <c r="H45" s="2"/>
      <c r="I45" s="2"/>
      <c r="J45" s="2"/>
      <c r="K45" s="2"/>
    </row>
    <row r="46" spans="1:11" ht="84" customHeight="1" x14ac:dyDescent="0.25">
      <c r="E46" s="2"/>
      <c r="F46" s="2"/>
      <c r="G46" s="2"/>
      <c r="H46" s="2"/>
      <c r="I46" s="2"/>
      <c r="J46" s="2"/>
      <c r="K46" s="2"/>
    </row>
    <row r="47" spans="1:11" x14ac:dyDescent="0.25">
      <c r="E47" s="2"/>
      <c r="F47" s="2"/>
      <c r="G47" s="2"/>
      <c r="H47" s="2"/>
      <c r="I47" s="2"/>
      <c r="J47" s="2"/>
      <c r="K47" s="2"/>
    </row>
    <row r="48" spans="1:11" x14ac:dyDescent="0.25">
      <c r="E48" s="2"/>
      <c r="F48" s="2"/>
      <c r="G48" s="2"/>
      <c r="H48" s="2"/>
      <c r="I48" s="2"/>
      <c r="J48" s="2"/>
      <c r="K48" s="2"/>
    </row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</sheetData>
  <mergeCells count="13">
    <mergeCell ref="A1:K1"/>
    <mergeCell ref="A2:K2"/>
    <mergeCell ref="A3:K3"/>
    <mergeCell ref="H30:K30"/>
    <mergeCell ref="H31:K31"/>
    <mergeCell ref="N14:P14"/>
    <mergeCell ref="L4:L5"/>
    <mergeCell ref="H32:K32"/>
    <mergeCell ref="F30:G30"/>
    <mergeCell ref="E4:G4"/>
    <mergeCell ref="H4:J4"/>
    <mergeCell ref="E15:J15"/>
    <mergeCell ref="E29:J29"/>
  </mergeCells>
  <pageMargins left="0.89" right="0.78" top="0.75" bottom="0.75" header="0.3" footer="0.3"/>
  <pageSetup paperSize="9" scale="53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6"/>
  <sheetViews>
    <sheetView topLeftCell="A22" zoomScaleNormal="100" workbookViewId="0">
      <selection activeCell="B4" sqref="B4"/>
    </sheetView>
  </sheetViews>
  <sheetFormatPr defaultRowHeight="15.75" x14ac:dyDescent="0.25"/>
  <cols>
    <col min="1" max="1" width="5.85546875" style="2" bestFit="1" customWidth="1"/>
    <col min="2" max="2" width="30.85546875" style="2" bestFit="1" customWidth="1"/>
    <col min="3" max="3" width="20.7109375" style="2" bestFit="1" customWidth="1"/>
    <col min="4" max="4" width="30.28515625" style="5" customWidth="1"/>
    <col min="5" max="6" width="9.42578125" style="5" customWidth="1"/>
    <col min="7" max="7" width="9" style="5" customWidth="1"/>
    <col min="8" max="8" width="11.5703125" style="5" bestFit="1" customWidth="1"/>
    <col min="9" max="9" width="11.85546875" style="5" bestFit="1" customWidth="1"/>
    <col min="10" max="10" width="8.7109375" style="5" customWidth="1"/>
    <col min="11" max="11" width="14.140625" style="5" customWidth="1"/>
    <col min="12" max="13" width="9.140625" style="2"/>
    <col min="14" max="14" width="10" style="2" bestFit="1" customWidth="1"/>
    <col min="15" max="16384" width="9.140625" style="2"/>
  </cols>
  <sheetData>
    <row r="1" spans="1:17" ht="24.95" customHeight="1" x14ac:dyDescent="0.25">
      <c r="A1" s="119" t="s">
        <v>13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7" ht="24.95" customHeight="1" x14ac:dyDescent="0.25">
      <c r="A2" s="119" t="s">
        <v>62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</row>
    <row r="3" spans="1:17" ht="34.5" customHeight="1" x14ac:dyDescent="0.25">
      <c r="A3" s="119" t="s">
        <v>63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</row>
    <row r="4" spans="1:17" ht="20.100000000000001" customHeight="1" x14ac:dyDescent="0.25">
      <c r="D4"/>
      <c r="E4" s="115" t="s">
        <v>3</v>
      </c>
      <c r="F4" s="115"/>
      <c r="G4" s="115"/>
      <c r="H4" s="115" t="s">
        <v>4</v>
      </c>
      <c r="I4" s="115"/>
      <c r="J4" s="115"/>
      <c r="K4" s="104" t="s">
        <v>0</v>
      </c>
      <c r="L4" s="111" t="s">
        <v>349</v>
      </c>
    </row>
    <row r="5" spans="1:17" ht="20.100000000000001" customHeight="1" x14ac:dyDescent="0.25">
      <c r="A5" s="132" t="s">
        <v>1</v>
      </c>
      <c r="B5" s="131" t="s">
        <v>2</v>
      </c>
      <c r="C5" s="131" t="s">
        <v>16</v>
      </c>
      <c r="D5" t="s">
        <v>350</v>
      </c>
      <c r="E5" s="30" t="s">
        <v>5</v>
      </c>
      <c r="F5" s="31" t="s">
        <v>6</v>
      </c>
      <c r="G5" s="31" t="s">
        <v>7</v>
      </c>
      <c r="H5" s="30" t="s">
        <v>8</v>
      </c>
      <c r="I5" s="31" t="s">
        <v>9</v>
      </c>
      <c r="J5" s="31" t="s">
        <v>10</v>
      </c>
      <c r="K5" s="104" t="s">
        <v>0</v>
      </c>
      <c r="L5" s="112"/>
    </row>
    <row r="6" spans="1:17" ht="39.950000000000003" customHeight="1" x14ac:dyDescent="0.25">
      <c r="A6" s="10">
        <v>1</v>
      </c>
      <c r="B6" s="52" t="s">
        <v>310</v>
      </c>
      <c r="C6" s="53">
        <v>2022213010035</v>
      </c>
      <c r="D6" s="9" t="s">
        <v>309</v>
      </c>
      <c r="E6" s="13">
        <v>10</v>
      </c>
      <c r="F6" s="13">
        <v>11</v>
      </c>
      <c r="G6" s="11">
        <v>16</v>
      </c>
      <c r="H6" s="24">
        <v>33</v>
      </c>
      <c r="I6" s="24">
        <v>35</v>
      </c>
      <c r="J6" s="24">
        <v>36</v>
      </c>
      <c r="K6" s="12">
        <f>SUM(H6:J6)*10/3</f>
        <v>346.66666666666669</v>
      </c>
      <c r="L6" s="105" t="str">
        <f>VLOOKUP(K6,$O$9:$P$12,2,1)</f>
        <v>D</v>
      </c>
    </row>
    <row r="7" spans="1:17" ht="39.950000000000003" customHeight="1" x14ac:dyDescent="0.25">
      <c r="A7" s="10">
        <v>2</v>
      </c>
      <c r="B7" s="52" t="s">
        <v>311</v>
      </c>
      <c r="C7" s="53">
        <v>2022213010002</v>
      </c>
      <c r="D7" s="9" t="s">
        <v>309</v>
      </c>
      <c r="E7" s="11">
        <v>13</v>
      </c>
      <c r="F7" s="11">
        <v>5</v>
      </c>
      <c r="G7" s="11">
        <v>8</v>
      </c>
      <c r="H7" s="24">
        <v>38</v>
      </c>
      <c r="I7" s="24">
        <v>25</v>
      </c>
      <c r="J7" s="24">
        <v>28</v>
      </c>
      <c r="K7" s="12">
        <f t="shared" ref="K7:K31" si="0">SUM(H7:J7)*10/3</f>
        <v>303.33333333333331</v>
      </c>
      <c r="L7" s="105" t="str">
        <f t="shared" ref="L7:L31" si="1">VLOOKUP(K7,$O$9:$P$12,2,1)</f>
        <v>D</v>
      </c>
    </row>
    <row r="8" spans="1:17" ht="39.950000000000003" customHeight="1" x14ac:dyDescent="0.25">
      <c r="A8" s="10">
        <v>3</v>
      </c>
      <c r="B8" s="52" t="s">
        <v>312</v>
      </c>
      <c r="C8" s="53">
        <v>2022213010004</v>
      </c>
      <c r="D8" s="9" t="s">
        <v>309</v>
      </c>
      <c r="E8" s="11">
        <v>17</v>
      </c>
      <c r="F8" s="11">
        <v>7</v>
      </c>
      <c r="G8" s="11">
        <v>23</v>
      </c>
      <c r="H8" s="24">
        <v>42</v>
      </c>
      <c r="I8" s="24">
        <v>27</v>
      </c>
      <c r="J8" s="24">
        <v>43</v>
      </c>
      <c r="K8" s="12">
        <f t="shared" si="0"/>
        <v>373.33333333333331</v>
      </c>
      <c r="L8" s="105" t="str">
        <f t="shared" si="1"/>
        <v>D</v>
      </c>
      <c r="N8" s="105" t="s">
        <v>336</v>
      </c>
      <c r="O8" s="105" t="s">
        <v>337</v>
      </c>
      <c r="P8" s="105" t="s">
        <v>338</v>
      </c>
      <c r="Q8" s="105" t="s">
        <v>339</v>
      </c>
    </row>
    <row r="9" spans="1:17" ht="39.950000000000003" customHeight="1" x14ac:dyDescent="0.25">
      <c r="A9" s="10">
        <v>4</v>
      </c>
      <c r="B9" s="52" t="s">
        <v>313</v>
      </c>
      <c r="C9" s="53">
        <v>2022213010005</v>
      </c>
      <c r="D9" s="9" t="s">
        <v>309</v>
      </c>
      <c r="E9" s="11">
        <v>13</v>
      </c>
      <c r="F9" s="11">
        <v>5</v>
      </c>
      <c r="G9" s="11">
        <v>12</v>
      </c>
      <c r="H9" s="24">
        <v>38</v>
      </c>
      <c r="I9" s="24">
        <v>25</v>
      </c>
      <c r="J9" s="24">
        <v>31</v>
      </c>
      <c r="K9" s="12">
        <f t="shared" si="0"/>
        <v>313.33333333333331</v>
      </c>
      <c r="L9" s="105" t="str">
        <f t="shared" si="1"/>
        <v>D</v>
      </c>
      <c r="N9" s="106" t="s">
        <v>340</v>
      </c>
      <c r="O9" s="105">
        <v>0</v>
      </c>
      <c r="P9" s="105" t="s">
        <v>341</v>
      </c>
      <c r="Q9" s="105">
        <f>COUNTIF($L$6:$L$34,"D")</f>
        <v>26</v>
      </c>
    </row>
    <row r="10" spans="1:17" ht="39.950000000000003" customHeight="1" x14ac:dyDescent="0.25">
      <c r="A10" s="54">
        <v>5</v>
      </c>
      <c r="B10" s="59" t="s">
        <v>314</v>
      </c>
      <c r="C10" s="60">
        <v>2022213010007</v>
      </c>
      <c r="D10" s="57" t="s">
        <v>309</v>
      </c>
      <c r="E10" s="116" t="s">
        <v>335</v>
      </c>
      <c r="F10" s="117"/>
      <c r="G10" s="117"/>
      <c r="H10" s="117"/>
      <c r="I10" s="117"/>
      <c r="J10" s="118"/>
      <c r="K10" s="58">
        <f t="shared" si="0"/>
        <v>0</v>
      </c>
      <c r="L10" s="105" t="str">
        <f t="shared" si="1"/>
        <v>D</v>
      </c>
      <c r="N10" s="106" t="s">
        <v>342</v>
      </c>
      <c r="O10" s="105">
        <v>400</v>
      </c>
      <c r="P10" s="105" t="s">
        <v>343</v>
      </c>
      <c r="Q10" s="105">
        <f>COUNTIF($L$6:$L$34,"C")</f>
        <v>0</v>
      </c>
    </row>
    <row r="11" spans="1:17" ht="39.950000000000003" customHeight="1" x14ac:dyDescent="0.25">
      <c r="A11" s="54">
        <v>6</v>
      </c>
      <c r="B11" s="59" t="s">
        <v>315</v>
      </c>
      <c r="C11" s="60">
        <v>2022213010031</v>
      </c>
      <c r="D11" s="57" t="s">
        <v>309</v>
      </c>
      <c r="E11" s="116" t="s">
        <v>335</v>
      </c>
      <c r="F11" s="117"/>
      <c r="G11" s="117"/>
      <c r="H11" s="117"/>
      <c r="I11" s="117"/>
      <c r="J11" s="118"/>
      <c r="K11" s="58">
        <f t="shared" si="0"/>
        <v>0</v>
      </c>
      <c r="L11" s="105" t="str">
        <f t="shared" si="1"/>
        <v>D</v>
      </c>
      <c r="N11" s="106" t="s">
        <v>344</v>
      </c>
      <c r="O11" s="105">
        <v>450</v>
      </c>
      <c r="P11" s="105" t="s">
        <v>345</v>
      </c>
      <c r="Q11" s="105">
        <f>COUNTIF($L$6:$L$34,"B")</f>
        <v>0</v>
      </c>
    </row>
    <row r="12" spans="1:17" ht="39.950000000000003" customHeight="1" x14ac:dyDescent="0.25">
      <c r="A12" s="10">
        <v>7</v>
      </c>
      <c r="B12" s="52" t="s">
        <v>316</v>
      </c>
      <c r="C12" s="53">
        <v>2022213010010</v>
      </c>
      <c r="D12" s="9" t="s">
        <v>309</v>
      </c>
      <c r="E12" s="11">
        <v>12</v>
      </c>
      <c r="F12" s="11">
        <v>11</v>
      </c>
      <c r="G12" s="11">
        <v>11</v>
      </c>
      <c r="H12" s="24">
        <v>37</v>
      </c>
      <c r="I12" s="24">
        <v>35</v>
      </c>
      <c r="J12" s="24">
        <v>30</v>
      </c>
      <c r="K12" s="12">
        <f t="shared" si="0"/>
        <v>340</v>
      </c>
      <c r="L12" s="105" t="str">
        <f t="shared" si="1"/>
        <v>D</v>
      </c>
      <c r="N12" s="106" t="s">
        <v>346</v>
      </c>
      <c r="O12" s="105">
        <v>500</v>
      </c>
      <c r="P12" s="105" t="s">
        <v>347</v>
      </c>
      <c r="Q12" s="105">
        <f>COUNTIF($L$6:$L$34,"A")</f>
        <v>0</v>
      </c>
    </row>
    <row r="13" spans="1:17" ht="39.950000000000003" customHeight="1" x14ac:dyDescent="0.25">
      <c r="A13" s="10">
        <v>8</v>
      </c>
      <c r="B13" s="52" t="s">
        <v>317</v>
      </c>
      <c r="C13" s="53">
        <v>2022213010012</v>
      </c>
      <c r="D13" s="9" t="s">
        <v>309</v>
      </c>
      <c r="E13" s="11">
        <v>11</v>
      </c>
      <c r="F13" s="11">
        <v>15</v>
      </c>
      <c r="G13" s="11">
        <v>13</v>
      </c>
      <c r="H13" s="24">
        <v>35</v>
      </c>
      <c r="I13" s="24">
        <v>40</v>
      </c>
      <c r="J13" s="24">
        <v>32</v>
      </c>
      <c r="K13" s="12">
        <f t="shared" si="0"/>
        <v>356.66666666666669</v>
      </c>
      <c r="L13" s="105" t="str">
        <f t="shared" si="1"/>
        <v>D</v>
      </c>
      <c r="N13" s="108" t="s">
        <v>348</v>
      </c>
      <c r="O13" s="109"/>
      <c r="P13" s="110"/>
      <c r="Q13" s="107">
        <f>SUM(Q9:Q12)</f>
        <v>26</v>
      </c>
    </row>
    <row r="14" spans="1:17" ht="39.950000000000003" customHeight="1" x14ac:dyDescent="0.25">
      <c r="A14" s="10">
        <v>9</v>
      </c>
      <c r="B14" s="52" t="s">
        <v>318</v>
      </c>
      <c r="C14" s="53">
        <v>2022213010038</v>
      </c>
      <c r="D14" s="9" t="s">
        <v>309</v>
      </c>
      <c r="E14" s="11">
        <v>17</v>
      </c>
      <c r="F14" s="11">
        <v>8</v>
      </c>
      <c r="G14" s="11">
        <v>14</v>
      </c>
      <c r="H14" s="24">
        <v>42</v>
      </c>
      <c r="I14" s="24">
        <v>29</v>
      </c>
      <c r="J14" s="24">
        <v>34</v>
      </c>
      <c r="K14" s="12">
        <f t="shared" si="0"/>
        <v>350</v>
      </c>
      <c r="L14" s="105" t="str">
        <f t="shared" si="1"/>
        <v>D</v>
      </c>
    </row>
    <row r="15" spans="1:17" ht="39.950000000000003" customHeight="1" x14ac:dyDescent="0.25">
      <c r="A15" s="10">
        <v>10</v>
      </c>
      <c r="B15" s="52" t="s">
        <v>319</v>
      </c>
      <c r="C15" s="53">
        <v>2022213010014</v>
      </c>
      <c r="D15" s="9" t="s">
        <v>309</v>
      </c>
      <c r="E15" s="11">
        <v>12</v>
      </c>
      <c r="F15" s="11">
        <v>9</v>
      </c>
      <c r="G15" s="11">
        <v>18</v>
      </c>
      <c r="H15" s="11">
        <v>37</v>
      </c>
      <c r="I15" s="11">
        <v>31</v>
      </c>
      <c r="J15" s="11">
        <v>38</v>
      </c>
      <c r="K15" s="12">
        <f t="shared" si="0"/>
        <v>353.33333333333331</v>
      </c>
      <c r="L15" s="105" t="str">
        <f t="shared" si="1"/>
        <v>D</v>
      </c>
    </row>
    <row r="16" spans="1:17" ht="39.950000000000003" customHeight="1" x14ac:dyDescent="0.25">
      <c r="A16" s="10">
        <v>11</v>
      </c>
      <c r="B16" s="52" t="s">
        <v>320</v>
      </c>
      <c r="C16" s="53">
        <v>2022213010040</v>
      </c>
      <c r="D16" s="9" t="s">
        <v>309</v>
      </c>
      <c r="E16" s="11">
        <v>15</v>
      </c>
      <c r="F16" s="11">
        <v>13</v>
      </c>
      <c r="G16" s="11">
        <v>14</v>
      </c>
      <c r="H16" s="24">
        <v>41</v>
      </c>
      <c r="I16" s="24">
        <v>37</v>
      </c>
      <c r="J16" s="24">
        <v>34</v>
      </c>
      <c r="K16" s="12">
        <f t="shared" si="0"/>
        <v>373.33333333333331</v>
      </c>
      <c r="L16" s="105" t="str">
        <f t="shared" si="1"/>
        <v>D</v>
      </c>
    </row>
    <row r="17" spans="1:12" ht="39.950000000000003" customHeight="1" x14ac:dyDescent="0.25">
      <c r="A17" s="10">
        <v>12</v>
      </c>
      <c r="B17" s="52" t="s">
        <v>321</v>
      </c>
      <c r="C17" s="53">
        <v>2022213010016</v>
      </c>
      <c r="D17" s="9" t="s">
        <v>309</v>
      </c>
      <c r="E17" s="11">
        <v>4</v>
      </c>
      <c r="F17" s="11">
        <v>8</v>
      </c>
      <c r="G17" s="11">
        <v>12</v>
      </c>
      <c r="H17" s="24">
        <v>28</v>
      </c>
      <c r="I17" s="24">
        <v>29</v>
      </c>
      <c r="J17" s="24">
        <v>31</v>
      </c>
      <c r="K17" s="12">
        <f t="shared" si="0"/>
        <v>293.33333333333331</v>
      </c>
      <c r="L17" s="105" t="str">
        <f t="shared" si="1"/>
        <v>D</v>
      </c>
    </row>
    <row r="18" spans="1:12" ht="39.950000000000003" customHeight="1" x14ac:dyDescent="0.25">
      <c r="A18" s="10">
        <v>13</v>
      </c>
      <c r="B18" s="52" t="s">
        <v>322</v>
      </c>
      <c r="C18" s="53">
        <v>2022213010043</v>
      </c>
      <c r="D18" s="9" t="s">
        <v>309</v>
      </c>
      <c r="E18" s="11">
        <v>11</v>
      </c>
      <c r="F18" s="11">
        <v>12</v>
      </c>
      <c r="G18" s="11">
        <v>29</v>
      </c>
      <c r="H18" s="24">
        <v>35</v>
      </c>
      <c r="I18" s="24">
        <v>36</v>
      </c>
      <c r="J18" s="24">
        <v>47</v>
      </c>
      <c r="K18" s="12">
        <f t="shared" si="0"/>
        <v>393.33333333333331</v>
      </c>
      <c r="L18" s="105" t="str">
        <f t="shared" si="1"/>
        <v>D</v>
      </c>
    </row>
    <row r="19" spans="1:12" ht="39.950000000000003" customHeight="1" x14ac:dyDescent="0.25">
      <c r="A19" s="10">
        <v>14</v>
      </c>
      <c r="B19" s="52" t="s">
        <v>323</v>
      </c>
      <c r="C19" s="53">
        <v>2022213010054</v>
      </c>
      <c r="D19" s="9" t="s">
        <v>309</v>
      </c>
      <c r="E19" s="11">
        <v>10</v>
      </c>
      <c r="F19" s="11">
        <v>16</v>
      </c>
      <c r="G19" s="11">
        <v>21</v>
      </c>
      <c r="H19" s="24">
        <v>33</v>
      </c>
      <c r="I19" s="24">
        <v>40</v>
      </c>
      <c r="J19" s="24">
        <v>41</v>
      </c>
      <c r="K19" s="12">
        <f t="shared" si="0"/>
        <v>380</v>
      </c>
      <c r="L19" s="105" t="str">
        <f t="shared" si="1"/>
        <v>D</v>
      </c>
    </row>
    <row r="20" spans="1:12" ht="39.950000000000003" customHeight="1" x14ac:dyDescent="0.25">
      <c r="A20" s="54">
        <v>15</v>
      </c>
      <c r="B20" s="59" t="s">
        <v>260</v>
      </c>
      <c r="C20" s="60">
        <v>2022213010018</v>
      </c>
      <c r="D20" s="57" t="s">
        <v>309</v>
      </c>
      <c r="E20" s="116" t="s">
        <v>335</v>
      </c>
      <c r="F20" s="117"/>
      <c r="G20" s="117"/>
      <c r="H20" s="117"/>
      <c r="I20" s="117"/>
      <c r="J20" s="118"/>
      <c r="K20" s="58">
        <f t="shared" si="0"/>
        <v>0</v>
      </c>
      <c r="L20" s="105" t="str">
        <f t="shared" si="1"/>
        <v>D</v>
      </c>
    </row>
    <row r="21" spans="1:12" ht="39.950000000000003" customHeight="1" x14ac:dyDescent="0.25">
      <c r="A21" s="10">
        <v>16</v>
      </c>
      <c r="B21" s="52" t="s">
        <v>324</v>
      </c>
      <c r="C21" s="53">
        <v>2022213010019</v>
      </c>
      <c r="D21" s="9" t="s">
        <v>309</v>
      </c>
      <c r="E21" s="11">
        <v>7</v>
      </c>
      <c r="F21" s="11">
        <v>13</v>
      </c>
      <c r="G21" s="11">
        <v>13</v>
      </c>
      <c r="H21" s="24">
        <v>31</v>
      </c>
      <c r="I21" s="24">
        <v>37</v>
      </c>
      <c r="J21" s="24">
        <v>32</v>
      </c>
      <c r="K21" s="12">
        <f t="shared" si="0"/>
        <v>333.33333333333331</v>
      </c>
      <c r="L21" s="105" t="str">
        <f t="shared" si="1"/>
        <v>D</v>
      </c>
    </row>
    <row r="22" spans="1:12" ht="39.950000000000003" customHeight="1" x14ac:dyDescent="0.25">
      <c r="A22" s="10">
        <v>17</v>
      </c>
      <c r="B22" s="52" t="s">
        <v>325</v>
      </c>
      <c r="C22" s="53">
        <v>2022213010045</v>
      </c>
      <c r="D22" s="9" t="s">
        <v>309</v>
      </c>
      <c r="E22" s="11">
        <v>17</v>
      </c>
      <c r="F22" s="11">
        <v>10</v>
      </c>
      <c r="G22" s="11">
        <v>14</v>
      </c>
      <c r="H22" s="24">
        <v>42</v>
      </c>
      <c r="I22" s="24">
        <v>33</v>
      </c>
      <c r="J22" s="24">
        <v>34</v>
      </c>
      <c r="K22" s="12">
        <f t="shared" si="0"/>
        <v>363.33333333333331</v>
      </c>
      <c r="L22" s="105" t="str">
        <f t="shared" si="1"/>
        <v>D</v>
      </c>
    </row>
    <row r="23" spans="1:12" ht="39.950000000000003" customHeight="1" x14ac:dyDescent="0.25">
      <c r="A23" s="10">
        <v>18</v>
      </c>
      <c r="B23" s="52" t="s">
        <v>326</v>
      </c>
      <c r="C23" s="53">
        <v>2022213010047</v>
      </c>
      <c r="D23" s="9" t="s">
        <v>309</v>
      </c>
      <c r="E23" s="11">
        <v>8</v>
      </c>
      <c r="F23" s="11">
        <v>13</v>
      </c>
      <c r="G23" s="11">
        <v>8</v>
      </c>
      <c r="H23" s="24">
        <v>32</v>
      </c>
      <c r="I23" s="24">
        <v>37</v>
      </c>
      <c r="J23" s="24">
        <v>28</v>
      </c>
      <c r="K23" s="12">
        <f t="shared" si="0"/>
        <v>323.33333333333331</v>
      </c>
      <c r="L23" s="105" t="str">
        <f t="shared" si="1"/>
        <v>D</v>
      </c>
    </row>
    <row r="24" spans="1:12" ht="39.950000000000003" customHeight="1" x14ac:dyDescent="0.25">
      <c r="A24" s="54">
        <v>19</v>
      </c>
      <c r="B24" s="59" t="s">
        <v>327</v>
      </c>
      <c r="C24" s="60">
        <v>2022213010049</v>
      </c>
      <c r="D24" s="57" t="s">
        <v>309</v>
      </c>
      <c r="E24" s="116" t="s">
        <v>335</v>
      </c>
      <c r="F24" s="117"/>
      <c r="G24" s="117"/>
      <c r="H24" s="117"/>
      <c r="I24" s="117"/>
      <c r="J24" s="118"/>
      <c r="K24" s="58">
        <f t="shared" si="0"/>
        <v>0</v>
      </c>
      <c r="L24" s="105" t="str">
        <f t="shared" si="1"/>
        <v>D</v>
      </c>
    </row>
    <row r="25" spans="1:12" ht="39.950000000000003" customHeight="1" x14ac:dyDescent="0.25">
      <c r="A25" s="54">
        <v>20</v>
      </c>
      <c r="B25" s="59" t="s">
        <v>328</v>
      </c>
      <c r="C25" s="60">
        <v>2022213010050</v>
      </c>
      <c r="D25" s="57" t="s">
        <v>309</v>
      </c>
      <c r="E25" s="116" t="s">
        <v>335</v>
      </c>
      <c r="F25" s="117"/>
      <c r="G25" s="117"/>
      <c r="H25" s="117"/>
      <c r="I25" s="117"/>
      <c r="J25" s="118"/>
      <c r="K25" s="58">
        <f t="shared" si="0"/>
        <v>0</v>
      </c>
      <c r="L25" s="105" t="str">
        <f t="shared" si="1"/>
        <v>D</v>
      </c>
    </row>
    <row r="26" spans="1:12" ht="39.950000000000003" customHeight="1" x14ac:dyDescent="0.25">
      <c r="A26" s="10">
        <v>21</v>
      </c>
      <c r="B26" s="52" t="s">
        <v>329</v>
      </c>
      <c r="C26" s="53">
        <v>2022213010022</v>
      </c>
      <c r="D26" s="9" t="s">
        <v>309</v>
      </c>
      <c r="E26" s="11">
        <v>12</v>
      </c>
      <c r="F26" s="11">
        <v>6</v>
      </c>
      <c r="G26" s="11">
        <v>11</v>
      </c>
      <c r="H26" s="24">
        <v>37</v>
      </c>
      <c r="I26" s="24">
        <v>26</v>
      </c>
      <c r="J26" s="24">
        <v>30</v>
      </c>
      <c r="K26" s="12">
        <f t="shared" si="0"/>
        <v>310</v>
      </c>
      <c r="L26" s="105" t="str">
        <f t="shared" si="1"/>
        <v>D</v>
      </c>
    </row>
    <row r="27" spans="1:12" ht="39.950000000000003" customHeight="1" x14ac:dyDescent="0.25">
      <c r="A27" s="10">
        <v>22</v>
      </c>
      <c r="B27" s="52" t="s">
        <v>330</v>
      </c>
      <c r="C27" s="53">
        <v>2022213010024</v>
      </c>
      <c r="D27" s="9" t="s">
        <v>309</v>
      </c>
      <c r="E27" s="11">
        <v>12</v>
      </c>
      <c r="F27" s="11">
        <v>11</v>
      </c>
      <c r="G27" s="11">
        <v>96</v>
      </c>
      <c r="H27" s="24">
        <v>37</v>
      </c>
      <c r="I27" s="24">
        <v>35</v>
      </c>
      <c r="J27" s="24">
        <v>26</v>
      </c>
      <c r="K27" s="12">
        <f t="shared" si="0"/>
        <v>326.66666666666669</v>
      </c>
      <c r="L27" s="105" t="str">
        <f t="shared" si="1"/>
        <v>D</v>
      </c>
    </row>
    <row r="28" spans="1:12" ht="39.950000000000003" customHeight="1" x14ac:dyDescent="0.25">
      <c r="A28" s="10">
        <v>23</v>
      </c>
      <c r="B28" s="52" t="s">
        <v>331</v>
      </c>
      <c r="C28" s="53">
        <v>2022213010026</v>
      </c>
      <c r="D28" s="9" t="s">
        <v>309</v>
      </c>
      <c r="E28" s="11">
        <v>10</v>
      </c>
      <c r="F28" s="11">
        <v>8</v>
      </c>
      <c r="G28" s="11">
        <v>23</v>
      </c>
      <c r="H28" s="24">
        <v>33</v>
      </c>
      <c r="I28" s="24">
        <v>29</v>
      </c>
      <c r="J28" s="24">
        <v>43</v>
      </c>
      <c r="K28" s="12">
        <f t="shared" si="0"/>
        <v>350</v>
      </c>
      <c r="L28" s="105" t="str">
        <f t="shared" si="1"/>
        <v>D</v>
      </c>
    </row>
    <row r="29" spans="1:12" ht="39.950000000000003" customHeight="1" x14ac:dyDescent="0.25">
      <c r="A29" s="10">
        <v>24</v>
      </c>
      <c r="B29" s="52" t="s">
        <v>332</v>
      </c>
      <c r="C29" s="53">
        <v>2022213010051</v>
      </c>
      <c r="D29" s="9" t="s">
        <v>309</v>
      </c>
      <c r="E29" s="11">
        <v>15</v>
      </c>
      <c r="F29" s="11">
        <v>13</v>
      </c>
      <c r="G29" s="11">
        <v>10</v>
      </c>
      <c r="H29" s="11">
        <v>41</v>
      </c>
      <c r="I29" s="11">
        <v>37</v>
      </c>
      <c r="J29" s="11">
        <v>29</v>
      </c>
      <c r="K29" s="12">
        <f t="shared" si="0"/>
        <v>356.66666666666669</v>
      </c>
      <c r="L29" s="105" t="str">
        <f t="shared" si="1"/>
        <v>D</v>
      </c>
    </row>
    <row r="30" spans="1:12" ht="39.950000000000003" customHeight="1" x14ac:dyDescent="0.25">
      <c r="A30" s="54">
        <v>25</v>
      </c>
      <c r="B30" s="59" t="s">
        <v>333</v>
      </c>
      <c r="C30" s="60">
        <v>2022213010052</v>
      </c>
      <c r="D30" s="57" t="s">
        <v>309</v>
      </c>
      <c r="E30" s="116" t="s">
        <v>335</v>
      </c>
      <c r="F30" s="117"/>
      <c r="G30" s="117"/>
      <c r="H30" s="117"/>
      <c r="I30" s="117"/>
      <c r="J30" s="118"/>
      <c r="K30" s="58">
        <f t="shared" si="0"/>
        <v>0</v>
      </c>
      <c r="L30" s="105" t="str">
        <f t="shared" si="1"/>
        <v>D</v>
      </c>
    </row>
    <row r="31" spans="1:12" ht="39.950000000000003" customHeight="1" x14ac:dyDescent="0.25">
      <c r="A31" s="10">
        <v>26</v>
      </c>
      <c r="B31" s="52" t="s">
        <v>334</v>
      </c>
      <c r="C31" s="53">
        <v>2022213010030</v>
      </c>
      <c r="D31" s="9" t="s">
        <v>309</v>
      </c>
      <c r="E31" s="11">
        <v>8</v>
      </c>
      <c r="F31" s="11">
        <v>19</v>
      </c>
      <c r="G31" s="11">
        <v>14</v>
      </c>
      <c r="H31" s="24">
        <v>32</v>
      </c>
      <c r="I31" s="24">
        <v>43</v>
      </c>
      <c r="J31" s="24">
        <v>34</v>
      </c>
      <c r="K31" s="12">
        <f t="shared" si="0"/>
        <v>363.33333333333331</v>
      </c>
      <c r="L31" s="105" t="str">
        <f t="shared" si="1"/>
        <v>D</v>
      </c>
    </row>
    <row r="32" spans="1:12" ht="54.95" customHeight="1" x14ac:dyDescent="0.3">
      <c r="A32" s="14"/>
      <c r="B32" s="15"/>
      <c r="C32" s="15"/>
      <c r="D32" s="16"/>
      <c r="E32" s="16"/>
      <c r="F32" s="114"/>
      <c r="G32" s="114"/>
      <c r="H32" s="120" t="s">
        <v>14</v>
      </c>
      <c r="I32" s="120"/>
      <c r="J32" s="120"/>
      <c r="K32" s="120"/>
    </row>
    <row r="33" spans="1:11" ht="84.95" customHeight="1" x14ac:dyDescent="0.3">
      <c r="A33" s="14"/>
      <c r="B33" s="15"/>
      <c r="C33" s="15"/>
      <c r="D33" s="16"/>
      <c r="E33" s="16"/>
      <c r="F33" s="17"/>
      <c r="G33" s="16"/>
      <c r="H33" s="121" t="s">
        <v>11</v>
      </c>
      <c r="I33" s="121"/>
      <c r="J33" s="121"/>
      <c r="K33" s="121"/>
    </row>
    <row r="34" spans="1:11" ht="24" customHeight="1" x14ac:dyDescent="0.25">
      <c r="A34" s="14"/>
      <c r="B34" s="15"/>
      <c r="C34" s="15"/>
      <c r="D34" s="16"/>
      <c r="E34" s="16"/>
      <c r="F34" s="17"/>
      <c r="G34" s="17"/>
      <c r="H34" s="113" t="s">
        <v>12</v>
      </c>
      <c r="I34" s="113"/>
      <c r="J34" s="113"/>
      <c r="K34" s="113"/>
    </row>
    <row r="35" spans="1:11" ht="24.95" customHeight="1" x14ac:dyDescent="0.25">
      <c r="A35" s="14"/>
      <c r="B35" s="15"/>
      <c r="C35" s="15"/>
      <c r="D35" s="16"/>
      <c r="E35" s="16"/>
      <c r="F35" s="16"/>
      <c r="G35" s="16"/>
      <c r="H35" s="16"/>
      <c r="I35" s="16"/>
      <c r="J35" s="16"/>
      <c r="K35" s="18"/>
    </row>
    <row r="36" spans="1:11" ht="24.95" customHeight="1" x14ac:dyDescent="0.25">
      <c r="A36" s="19"/>
      <c r="B36" s="19"/>
      <c r="C36" s="19"/>
      <c r="D36" s="18"/>
      <c r="E36" s="18"/>
      <c r="F36" s="18"/>
      <c r="G36" s="18"/>
      <c r="H36" s="18"/>
      <c r="I36" s="18"/>
      <c r="J36" s="18"/>
      <c r="K36" s="18"/>
    </row>
    <row r="37" spans="1:11" ht="24.75" customHeight="1" x14ac:dyDescent="0.25"/>
    <row r="38" spans="1:11" ht="24.95" customHeight="1" x14ac:dyDescent="0.25"/>
    <row r="39" spans="1:11" ht="24" customHeight="1" x14ac:dyDescent="0.25"/>
    <row r="40" spans="1:11" ht="24" customHeight="1" x14ac:dyDescent="0.25"/>
    <row r="41" spans="1:11" ht="18.75" customHeight="1" x14ac:dyDescent="0.25"/>
    <row r="42" spans="1:11" ht="22.5" customHeight="1" x14ac:dyDescent="0.25"/>
    <row r="43" spans="1:11" ht="24.75" customHeight="1" x14ac:dyDescent="0.25"/>
    <row r="44" spans="1:11" ht="23.25" customHeight="1" x14ac:dyDescent="0.25"/>
    <row r="45" spans="1:11" ht="23.25" customHeight="1" x14ac:dyDescent="0.25">
      <c r="E45" s="2"/>
      <c r="F45" s="2"/>
      <c r="G45" s="2"/>
      <c r="H45" s="2"/>
      <c r="I45" s="2"/>
      <c r="J45" s="2"/>
      <c r="K45" s="2"/>
    </row>
    <row r="46" spans="1:11" ht="23.25" customHeight="1" x14ac:dyDescent="0.25">
      <c r="E46" s="2"/>
      <c r="F46" s="2"/>
      <c r="G46" s="2"/>
      <c r="H46" s="2"/>
      <c r="I46" s="2"/>
      <c r="J46" s="2"/>
      <c r="K46" s="2"/>
    </row>
    <row r="47" spans="1:11" ht="23.25" customHeight="1" x14ac:dyDescent="0.25">
      <c r="E47" s="2"/>
      <c r="F47" s="2"/>
      <c r="G47" s="2"/>
      <c r="H47" s="2"/>
      <c r="I47" s="2"/>
      <c r="J47" s="2"/>
      <c r="K47" s="2"/>
    </row>
    <row r="48" spans="1:11" ht="84" customHeight="1" x14ac:dyDescent="0.25">
      <c r="E48" s="2"/>
      <c r="F48" s="2"/>
      <c r="G48" s="2"/>
      <c r="H48" s="2"/>
      <c r="I48" s="2"/>
      <c r="J48" s="2"/>
      <c r="K48" s="2"/>
    </row>
    <row r="49" spans="5:11" x14ac:dyDescent="0.25">
      <c r="E49" s="2"/>
      <c r="F49" s="2"/>
      <c r="G49" s="2"/>
      <c r="H49" s="2"/>
      <c r="I49" s="2"/>
      <c r="J49" s="2"/>
      <c r="K49" s="2"/>
    </row>
    <row r="50" spans="5:11" x14ac:dyDescent="0.25">
      <c r="E50" s="2"/>
      <c r="F50" s="2"/>
      <c r="G50" s="2"/>
      <c r="H50" s="2"/>
      <c r="I50" s="2"/>
      <c r="J50" s="2"/>
      <c r="K50" s="2"/>
    </row>
    <row r="51" spans="5:11" x14ac:dyDescent="0.25">
      <c r="E51" s="2"/>
      <c r="F51" s="2"/>
      <c r="G51" s="2"/>
      <c r="H51" s="2"/>
      <c r="I51" s="2"/>
      <c r="J51" s="2"/>
      <c r="K51" s="2"/>
    </row>
    <row r="52" spans="5:11" x14ac:dyDescent="0.25">
      <c r="E52" s="2"/>
      <c r="F52" s="2"/>
      <c r="G52" s="2"/>
      <c r="H52" s="2"/>
      <c r="I52" s="2"/>
      <c r="J52" s="2"/>
      <c r="K52" s="2"/>
    </row>
    <row r="53" spans="5:11" x14ac:dyDescent="0.25">
      <c r="E53" s="2"/>
      <c r="F53" s="2"/>
      <c r="G53" s="2"/>
      <c r="H53" s="2"/>
      <c r="I53" s="2"/>
      <c r="J53" s="2"/>
      <c r="K53" s="2"/>
    </row>
    <row r="54" spans="5:11" x14ac:dyDescent="0.25">
      <c r="E54" s="2"/>
      <c r="F54" s="2"/>
      <c r="G54" s="2"/>
      <c r="H54" s="2"/>
      <c r="I54" s="2"/>
      <c r="J54" s="2"/>
      <c r="K54" s="2"/>
    </row>
    <row r="55" spans="5:11" x14ac:dyDescent="0.25">
      <c r="E55" s="2"/>
      <c r="F55" s="2"/>
      <c r="G55" s="2"/>
      <c r="H55" s="2"/>
      <c r="I55" s="2"/>
      <c r="J55" s="2"/>
      <c r="K55" s="2"/>
    </row>
    <row r="56" spans="5:11" x14ac:dyDescent="0.25">
      <c r="E56" s="2"/>
      <c r="F56" s="2"/>
      <c r="G56" s="2"/>
      <c r="H56" s="2"/>
      <c r="I56" s="2"/>
      <c r="J56" s="2"/>
      <c r="K56" s="2"/>
    </row>
  </sheetData>
  <mergeCells count="17">
    <mergeCell ref="F32:G32"/>
    <mergeCell ref="H32:K32"/>
    <mergeCell ref="H33:K33"/>
    <mergeCell ref="H34:K34"/>
    <mergeCell ref="E10:J10"/>
    <mergeCell ref="E11:J11"/>
    <mergeCell ref="E20:J20"/>
    <mergeCell ref="E24:J24"/>
    <mergeCell ref="E25:J25"/>
    <mergeCell ref="E30:J30"/>
    <mergeCell ref="N13:P13"/>
    <mergeCell ref="L4:L5"/>
    <mergeCell ref="A1:K1"/>
    <mergeCell ref="A2:K2"/>
    <mergeCell ref="A3:K3"/>
    <mergeCell ref="E4:G4"/>
    <mergeCell ref="H4:J4"/>
  </mergeCells>
  <pageMargins left="0.7" right="0.7" top="0.75" bottom="0.75" header="0.3" footer="0.3"/>
  <pageSetup paperSize="9" scale="56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4"/>
  <sheetViews>
    <sheetView zoomScaleNormal="100" workbookViewId="0">
      <selection activeCell="D12" sqref="D12"/>
    </sheetView>
  </sheetViews>
  <sheetFormatPr defaultRowHeight="15.75" x14ac:dyDescent="0.25"/>
  <cols>
    <col min="1" max="1" width="5.140625" style="2" bestFit="1" customWidth="1"/>
    <col min="2" max="2" width="36" style="21" bestFit="1" customWidth="1"/>
    <col min="3" max="3" width="20.7109375" style="21" bestFit="1" customWidth="1"/>
    <col min="4" max="4" width="40.5703125" style="2" bestFit="1" customWidth="1"/>
    <col min="5" max="7" width="8.7109375" style="5" customWidth="1"/>
    <col min="8" max="8" width="11.5703125" style="5" bestFit="1" customWidth="1"/>
    <col min="9" max="9" width="11.85546875" style="5" bestFit="1" customWidth="1"/>
    <col min="10" max="10" width="10.85546875" style="5" customWidth="1"/>
    <col min="11" max="11" width="10.7109375" style="5" customWidth="1"/>
    <col min="12" max="13" width="9.140625" style="2"/>
    <col min="14" max="14" width="10" style="2" bestFit="1" customWidth="1"/>
    <col min="15" max="16384" width="9.140625" style="2"/>
  </cols>
  <sheetData>
    <row r="1" spans="1:17" ht="24.95" customHeight="1" x14ac:dyDescent="0.25">
      <c r="A1" s="119" t="s">
        <v>13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7" ht="24.95" customHeight="1" x14ac:dyDescent="0.25">
      <c r="A2" s="119" t="s">
        <v>62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</row>
    <row r="3" spans="1:17" ht="32.25" customHeight="1" x14ac:dyDescent="0.25">
      <c r="A3" s="119" t="s">
        <v>63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</row>
    <row r="4" spans="1:17" x14ac:dyDescent="0.25">
      <c r="A4" s="1"/>
      <c r="B4" s="22"/>
      <c r="C4" s="22"/>
      <c r="D4" s="1"/>
      <c r="E4" s="6"/>
      <c r="F4" s="6"/>
      <c r="G4" s="6"/>
      <c r="H4" s="6"/>
      <c r="I4" s="6"/>
      <c r="J4" s="6"/>
      <c r="K4" s="6"/>
    </row>
    <row r="5" spans="1:17" ht="20.100000000000001" customHeight="1" x14ac:dyDescent="0.25">
      <c r="B5" s="2"/>
      <c r="C5" s="2"/>
      <c r="D5"/>
      <c r="E5" s="115" t="s">
        <v>3</v>
      </c>
      <c r="F5" s="115"/>
      <c r="G5" s="115"/>
      <c r="H5" s="115" t="s">
        <v>4</v>
      </c>
      <c r="I5" s="115"/>
      <c r="J5" s="115"/>
      <c r="K5" s="104" t="s">
        <v>0</v>
      </c>
      <c r="L5" s="111" t="s">
        <v>349</v>
      </c>
    </row>
    <row r="6" spans="1:17" ht="20.100000000000001" customHeight="1" x14ac:dyDescent="0.25">
      <c r="A6" s="132" t="s">
        <v>1</v>
      </c>
      <c r="B6" s="131" t="s">
        <v>2</v>
      </c>
      <c r="C6" s="131" t="s">
        <v>16</v>
      </c>
      <c r="D6" t="s">
        <v>350</v>
      </c>
      <c r="E6" s="30" t="s">
        <v>5</v>
      </c>
      <c r="F6" s="31" t="s">
        <v>6</v>
      </c>
      <c r="G6" s="31" t="s">
        <v>7</v>
      </c>
      <c r="H6" s="30" t="s">
        <v>8</v>
      </c>
      <c r="I6" s="31" t="s">
        <v>9</v>
      </c>
      <c r="J6" s="31" t="s">
        <v>10</v>
      </c>
      <c r="K6" s="104" t="s">
        <v>0</v>
      </c>
      <c r="L6" s="112"/>
    </row>
    <row r="7" spans="1:17" ht="39.950000000000003" customHeight="1" x14ac:dyDescent="0.25">
      <c r="A7" s="54">
        <v>1</v>
      </c>
      <c r="B7" s="61" t="s">
        <v>65</v>
      </c>
      <c r="C7" s="62" t="s">
        <v>66</v>
      </c>
      <c r="D7" s="57" t="s">
        <v>64</v>
      </c>
      <c r="E7" s="122" t="s">
        <v>335</v>
      </c>
      <c r="F7" s="123"/>
      <c r="G7" s="123"/>
      <c r="H7" s="123"/>
      <c r="I7" s="123"/>
      <c r="J7" s="124"/>
      <c r="K7" s="58">
        <f>SUM(H7:J7)*10/3</f>
        <v>0</v>
      </c>
      <c r="L7" s="105" t="str">
        <f>VLOOKUP(K7,$O$10:$P$13,2,1)</f>
        <v>D</v>
      </c>
    </row>
    <row r="8" spans="1:17" ht="39.950000000000003" customHeight="1" x14ac:dyDescent="0.25">
      <c r="A8" s="54">
        <v>2</v>
      </c>
      <c r="B8" s="61" t="s">
        <v>67</v>
      </c>
      <c r="C8" s="62" t="s">
        <v>68</v>
      </c>
      <c r="D8" s="57" t="s">
        <v>64</v>
      </c>
      <c r="E8" s="125"/>
      <c r="F8" s="126"/>
      <c r="G8" s="126"/>
      <c r="H8" s="126"/>
      <c r="I8" s="126"/>
      <c r="J8" s="127"/>
      <c r="K8" s="58">
        <f t="shared" ref="K8:K24" si="0">SUM(H8:J8)*10/3</f>
        <v>0</v>
      </c>
      <c r="L8" s="105" t="str">
        <f t="shared" ref="L8:L24" si="1">VLOOKUP(K8,$O$10:$P$13,2,1)</f>
        <v>D</v>
      </c>
    </row>
    <row r="9" spans="1:17" ht="39.950000000000003" customHeight="1" x14ac:dyDescent="0.25">
      <c r="A9" s="54">
        <v>3</v>
      </c>
      <c r="B9" s="61" t="s">
        <v>69</v>
      </c>
      <c r="C9" s="62" t="s">
        <v>70</v>
      </c>
      <c r="D9" s="57" t="s">
        <v>64</v>
      </c>
      <c r="E9" s="125"/>
      <c r="F9" s="126"/>
      <c r="G9" s="126"/>
      <c r="H9" s="126"/>
      <c r="I9" s="126"/>
      <c r="J9" s="127"/>
      <c r="K9" s="58">
        <f t="shared" si="0"/>
        <v>0</v>
      </c>
      <c r="L9" s="105" t="str">
        <f t="shared" si="1"/>
        <v>D</v>
      </c>
      <c r="N9" s="105" t="s">
        <v>336</v>
      </c>
      <c r="O9" s="105" t="s">
        <v>337</v>
      </c>
      <c r="P9" s="105" t="s">
        <v>338</v>
      </c>
      <c r="Q9" s="105" t="s">
        <v>339</v>
      </c>
    </row>
    <row r="10" spans="1:17" ht="39.950000000000003" customHeight="1" x14ac:dyDescent="0.25">
      <c r="A10" s="54">
        <v>4</v>
      </c>
      <c r="B10" s="61" t="s">
        <v>71</v>
      </c>
      <c r="C10" s="62" t="s">
        <v>72</v>
      </c>
      <c r="D10" s="57" t="s">
        <v>64</v>
      </c>
      <c r="E10" s="125"/>
      <c r="F10" s="126"/>
      <c r="G10" s="126"/>
      <c r="H10" s="126"/>
      <c r="I10" s="126"/>
      <c r="J10" s="127"/>
      <c r="K10" s="58">
        <f t="shared" si="0"/>
        <v>0</v>
      </c>
      <c r="L10" s="105" t="str">
        <f t="shared" si="1"/>
        <v>D</v>
      </c>
      <c r="N10" s="106" t="s">
        <v>340</v>
      </c>
      <c r="O10" s="105">
        <v>0</v>
      </c>
      <c r="P10" s="105" t="s">
        <v>341</v>
      </c>
      <c r="Q10" s="105">
        <f>COUNTIF($L$7:$L$35,"D")</f>
        <v>18</v>
      </c>
    </row>
    <row r="11" spans="1:17" ht="39.950000000000003" customHeight="1" x14ac:dyDescent="0.25">
      <c r="A11" s="54">
        <v>5</v>
      </c>
      <c r="B11" s="61" t="s">
        <v>73</v>
      </c>
      <c r="C11" s="62" t="s">
        <v>74</v>
      </c>
      <c r="D11" s="57" t="s">
        <v>64</v>
      </c>
      <c r="E11" s="125"/>
      <c r="F11" s="126"/>
      <c r="G11" s="126"/>
      <c r="H11" s="126"/>
      <c r="I11" s="126"/>
      <c r="J11" s="127"/>
      <c r="K11" s="58">
        <f t="shared" si="0"/>
        <v>0</v>
      </c>
      <c r="L11" s="105" t="str">
        <f t="shared" si="1"/>
        <v>D</v>
      </c>
      <c r="N11" s="106" t="s">
        <v>342</v>
      </c>
      <c r="O11" s="105">
        <v>400</v>
      </c>
      <c r="P11" s="105" t="s">
        <v>343</v>
      </c>
      <c r="Q11" s="105">
        <f>COUNTIF($L$7:$L$35,"C")</f>
        <v>0</v>
      </c>
    </row>
    <row r="12" spans="1:17" ht="39.950000000000003" customHeight="1" x14ac:dyDescent="0.25">
      <c r="A12" s="54">
        <v>6</v>
      </c>
      <c r="B12" s="61" t="s">
        <v>75</v>
      </c>
      <c r="C12" s="62" t="s">
        <v>76</v>
      </c>
      <c r="D12" s="57" t="s">
        <v>64</v>
      </c>
      <c r="E12" s="125"/>
      <c r="F12" s="126"/>
      <c r="G12" s="126"/>
      <c r="H12" s="126"/>
      <c r="I12" s="126"/>
      <c r="J12" s="127"/>
      <c r="K12" s="58">
        <f t="shared" si="0"/>
        <v>0</v>
      </c>
      <c r="L12" s="105" t="str">
        <f t="shared" si="1"/>
        <v>D</v>
      </c>
      <c r="N12" s="106" t="s">
        <v>344</v>
      </c>
      <c r="O12" s="105">
        <v>450</v>
      </c>
      <c r="P12" s="105" t="s">
        <v>345</v>
      </c>
      <c r="Q12" s="105">
        <f>COUNTIF($L$7:$L$35,"B")</f>
        <v>0</v>
      </c>
    </row>
    <row r="13" spans="1:17" ht="39.950000000000003" customHeight="1" x14ac:dyDescent="0.25">
      <c r="A13" s="54">
        <v>7</v>
      </c>
      <c r="B13" s="61" t="s">
        <v>77</v>
      </c>
      <c r="C13" s="62" t="s">
        <v>78</v>
      </c>
      <c r="D13" s="57" t="s">
        <v>64</v>
      </c>
      <c r="E13" s="125"/>
      <c r="F13" s="126"/>
      <c r="G13" s="126"/>
      <c r="H13" s="126"/>
      <c r="I13" s="126"/>
      <c r="J13" s="127"/>
      <c r="K13" s="58">
        <f t="shared" si="0"/>
        <v>0</v>
      </c>
      <c r="L13" s="105" t="str">
        <f t="shared" si="1"/>
        <v>D</v>
      </c>
      <c r="N13" s="106" t="s">
        <v>346</v>
      </c>
      <c r="O13" s="105">
        <v>500</v>
      </c>
      <c r="P13" s="105" t="s">
        <v>347</v>
      </c>
      <c r="Q13" s="105">
        <f>COUNTIF($L$7:$L$35,"A")</f>
        <v>0</v>
      </c>
    </row>
    <row r="14" spans="1:17" ht="39.950000000000003" customHeight="1" x14ac:dyDescent="0.25">
      <c r="A14" s="54">
        <v>8</v>
      </c>
      <c r="B14" s="61" t="s">
        <v>79</v>
      </c>
      <c r="C14" s="62" t="s">
        <v>80</v>
      </c>
      <c r="D14" s="57" t="s">
        <v>64</v>
      </c>
      <c r="E14" s="128"/>
      <c r="F14" s="129"/>
      <c r="G14" s="129"/>
      <c r="H14" s="129"/>
      <c r="I14" s="129"/>
      <c r="J14" s="130"/>
      <c r="K14" s="58">
        <f t="shared" si="0"/>
        <v>0</v>
      </c>
      <c r="L14" s="105" t="str">
        <f t="shared" si="1"/>
        <v>D</v>
      </c>
      <c r="N14" s="108" t="s">
        <v>348</v>
      </c>
      <c r="O14" s="109"/>
      <c r="P14" s="110"/>
      <c r="Q14" s="107">
        <f>SUM(Q10:Q13)</f>
        <v>18</v>
      </c>
    </row>
    <row r="15" spans="1:17" ht="39.950000000000003" customHeight="1" x14ac:dyDescent="0.25">
      <c r="A15" s="10">
        <v>9</v>
      </c>
      <c r="B15" s="36" t="s">
        <v>81</v>
      </c>
      <c r="C15" s="37" t="s">
        <v>82</v>
      </c>
      <c r="D15" s="9" t="s">
        <v>64</v>
      </c>
      <c r="E15" s="11">
        <v>11</v>
      </c>
      <c r="F15" s="11">
        <v>10</v>
      </c>
      <c r="G15" s="11">
        <v>11</v>
      </c>
      <c r="H15" s="11">
        <v>35</v>
      </c>
      <c r="I15" s="11">
        <v>33</v>
      </c>
      <c r="J15" s="11">
        <v>30</v>
      </c>
      <c r="K15" s="12">
        <f t="shared" si="0"/>
        <v>326.66666666666669</v>
      </c>
      <c r="L15" s="105" t="str">
        <f t="shared" si="1"/>
        <v>D</v>
      </c>
    </row>
    <row r="16" spans="1:17" ht="39.950000000000003" customHeight="1" x14ac:dyDescent="0.25">
      <c r="A16" s="54">
        <v>10</v>
      </c>
      <c r="B16" s="61" t="s">
        <v>83</v>
      </c>
      <c r="C16" s="62" t="s">
        <v>84</v>
      </c>
      <c r="D16" s="57" t="s">
        <v>64</v>
      </c>
      <c r="E16" s="116" t="s">
        <v>335</v>
      </c>
      <c r="F16" s="117"/>
      <c r="G16" s="117"/>
      <c r="H16" s="117"/>
      <c r="I16" s="117"/>
      <c r="J16" s="118"/>
      <c r="K16" s="58">
        <f t="shared" si="0"/>
        <v>0</v>
      </c>
      <c r="L16" s="105" t="str">
        <f t="shared" si="1"/>
        <v>D</v>
      </c>
    </row>
    <row r="17" spans="1:12" ht="39.950000000000003" customHeight="1" x14ac:dyDescent="0.25">
      <c r="A17" s="54">
        <v>11</v>
      </c>
      <c r="B17" s="61" t="s">
        <v>85</v>
      </c>
      <c r="C17" s="62" t="s">
        <v>86</v>
      </c>
      <c r="D17" s="57" t="s">
        <v>64</v>
      </c>
      <c r="E17" s="116" t="s">
        <v>335</v>
      </c>
      <c r="F17" s="117"/>
      <c r="G17" s="117"/>
      <c r="H17" s="117"/>
      <c r="I17" s="117"/>
      <c r="J17" s="118"/>
      <c r="K17" s="58">
        <f t="shared" si="0"/>
        <v>0</v>
      </c>
      <c r="L17" s="105" t="str">
        <f t="shared" si="1"/>
        <v>D</v>
      </c>
    </row>
    <row r="18" spans="1:12" ht="39.950000000000003" customHeight="1" x14ac:dyDescent="0.25">
      <c r="A18" s="10">
        <v>12</v>
      </c>
      <c r="B18" s="36" t="s">
        <v>87</v>
      </c>
      <c r="C18" s="37" t="s">
        <v>88</v>
      </c>
      <c r="D18" s="9" t="s">
        <v>64</v>
      </c>
      <c r="E18" s="11">
        <v>8</v>
      </c>
      <c r="F18" s="11">
        <v>11</v>
      </c>
      <c r="G18" s="11">
        <v>16</v>
      </c>
      <c r="H18" s="24">
        <v>32</v>
      </c>
      <c r="I18" s="24">
        <v>35</v>
      </c>
      <c r="J18" s="24">
        <v>36</v>
      </c>
      <c r="K18" s="12">
        <f t="shared" si="0"/>
        <v>343.33333333333331</v>
      </c>
      <c r="L18" s="105" t="str">
        <f t="shared" si="1"/>
        <v>D</v>
      </c>
    </row>
    <row r="19" spans="1:12" ht="39.950000000000003" customHeight="1" x14ac:dyDescent="0.25">
      <c r="A19" s="54">
        <v>13</v>
      </c>
      <c r="B19" s="61" t="s">
        <v>89</v>
      </c>
      <c r="C19" s="62" t="s">
        <v>90</v>
      </c>
      <c r="D19" s="57" t="s">
        <v>64</v>
      </c>
      <c r="E19" s="122" t="s">
        <v>335</v>
      </c>
      <c r="F19" s="123"/>
      <c r="G19" s="123"/>
      <c r="H19" s="123"/>
      <c r="I19" s="123"/>
      <c r="J19" s="124"/>
      <c r="K19" s="58">
        <f t="shared" si="0"/>
        <v>0</v>
      </c>
      <c r="L19" s="105" t="str">
        <f t="shared" si="1"/>
        <v>D</v>
      </c>
    </row>
    <row r="20" spans="1:12" ht="39.950000000000003" customHeight="1" x14ac:dyDescent="0.25">
      <c r="A20" s="54">
        <v>14</v>
      </c>
      <c r="B20" s="61" t="s">
        <v>91</v>
      </c>
      <c r="C20" s="62" t="s">
        <v>92</v>
      </c>
      <c r="D20" s="57" t="s">
        <v>64</v>
      </c>
      <c r="E20" s="125"/>
      <c r="F20" s="126"/>
      <c r="G20" s="126"/>
      <c r="H20" s="126"/>
      <c r="I20" s="126"/>
      <c r="J20" s="127"/>
      <c r="K20" s="58">
        <f t="shared" si="0"/>
        <v>0</v>
      </c>
      <c r="L20" s="105" t="str">
        <f t="shared" si="1"/>
        <v>D</v>
      </c>
    </row>
    <row r="21" spans="1:12" ht="39.950000000000003" customHeight="1" x14ac:dyDescent="0.25">
      <c r="A21" s="54">
        <v>15</v>
      </c>
      <c r="B21" s="61" t="s">
        <v>93</v>
      </c>
      <c r="C21" s="62" t="s">
        <v>94</v>
      </c>
      <c r="D21" s="57" t="s">
        <v>64</v>
      </c>
      <c r="E21" s="125"/>
      <c r="F21" s="126"/>
      <c r="G21" s="126"/>
      <c r="H21" s="126"/>
      <c r="I21" s="126"/>
      <c r="J21" s="127"/>
      <c r="K21" s="58">
        <f t="shared" si="0"/>
        <v>0</v>
      </c>
      <c r="L21" s="105" t="str">
        <f t="shared" si="1"/>
        <v>D</v>
      </c>
    </row>
    <row r="22" spans="1:12" ht="39.950000000000003" customHeight="1" x14ac:dyDescent="0.25">
      <c r="A22" s="54">
        <v>16</v>
      </c>
      <c r="B22" s="61" t="s">
        <v>95</v>
      </c>
      <c r="C22" s="62" t="s">
        <v>96</v>
      </c>
      <c r="D22" s="57" t="s">
        <v>64</v>
      </c>
      <c r="E22" s="125"/>
      <c r="F22" s="126"/>
      <c r="G22" s="126"/>
      <c r="H22" s="126"/>
      <c r="I22" s="126"/>
      <c r="J22" s="127"/>
      <c r="K22" s="58">
        <f t="shared" si="0"/>
        <v>0</v>
      </c>
      <c r="L22" s="105" t="str">
        <f t="shared" si="1"/>
        <v>D</v>
      </c>
    </row>
    <row r="23" spans="1:12" ht="39.950000000000003" customHeight="1" x14ac:dyDescent="0.25">
      <c r="A23" s="54">
        <v>17</v>
      </c>
      <c r="B23" s="61" t="s">
        <v>97</v>
      </c>
      <c r="C23" s="62" t="s">
        <v>98</v>
      </c>
      <c r="D23" s="57" t="s">
        <v>64</v>
      </c>
      <c r="E23" s="125"/>
      <c r="F23" s="126"/>
      <c r="G23" s="126"/>
      <c r="H23" s="126"/>
      <c r="I23" s="126"/>
      <c r="J23" s="127"/>
      <c r="K23" s="58">
        <f t="shared" si="0"/>
        <v>0</v>
      </c>
      <c r="L23" s="105" t="str">
        <f t="shared" si="1"/>
        <v>D</v>
      </c>
    </row>
    <row r="24" spans="1:12" ht="39.950000000000003" customHeight="1" x14ac:dyDescent="0.25">
      <c r="A24" s="54">
        <v>18</v>
      </c>
      <c r="B24" s="61" t="s">
        <v>99</v>
      </c>
      <c r="C24" s="62" t="s">
        <v>100</v>
      </c>
      <c r="D24" s="57" t="s">
        <v>64</v>
      </c>
      <c r="E24" s="128"/>
      <c r="F24" s="129"/>
      <c r="G24" s="129"/>
      <c r="H24" s="129"/>
      <c r="I24" s="129"/>
      <c r="J24" s="130"/>
      <c r="K24" s="58">
        <f t="shared" si="0"/>
        <v>0</v>
      </c>
      <c r="L24" s="105" t="str">
        <f t="shared" si="1"/>
        <v>D</v>
      </c>
    </row>
    <row r="25" spans="1:12" ht="54.95" customHeight="1" x14ac:dyDescent="0.3">
      <c r="A25" s="14"/>
      <c r="B25" s="23"/>
      <c r="C25" s="23"/>
      <c r="D25" s="14"/>
      <c r="E25" s="16"/>
      <c r="F25" s="114"/>
      <c r="G25" s="114"/>
      <c r="H25" s="120" t="s">
        <v>14</v>
      </c>
      <c r="I25" s="120"/>
      <c r="J25" s="120"/>
      <c r="K25" s="120"/>
    </row>
    <row r="26" spans="1:12" ht="84.95" customHeight="1" x14ac:dyDescent="0.3">
      <c r="A26" s="14"/>
      <c r="B26" s="23"/>
      <c r="C26" s="23"/>
      <c r="D26" s="14"/>
      <c r="E26" s="16"/>
      <c r="F26" s="17"/>
      <c r="G26" s="16"/>
      <c r="H26" s="121" t="s">
        <v>11</v>
      </c>
      <c r="I26" s="121"/>
      <c r="J26" s="121"/>
      <c r="K26" s="121"/>
    </row>
    <row r="27" spans="1:12" ht="24.75" customHeight="1" x14ac:dyDescent="0.25">
      <c r="A27" s="14"/>
      <c r="B27" s="23"/>
      <c r="C27" s="23"/>
      <c r="D27" s="14"/>
      <c r="E27" s="16"/>
      <c r="F27" s="17"/>
      <c r="G27" s="17"/>
      <c r="H27" s="113" t="s">
        <v>12</v>
      </c>
      <c r="I27" s="113"/>
      <c r="J27" s="113"/>
      <c r="K27" s="113"/>
    </row>
    <row r="28" spans="1:12" ht="24.95" customHeight="1" x14ac:dyDescent="0.25">
      <c r="A28" s="14"/>
      <c r="B28" s="23"/>
      <c r="C28" s="23"/>
      <c r="D28" s="14"/>
      <c r="E28" s="16"/>
      <c r="F28" s="16"/>
      <c r="G28" s="16"/>
      <c r="H28" s="16"/>
      <c r="I28" s="16"/>
      <c r="J28" s="16"/>
      <c r="K28" s="18"/>
    </row>
    <row r="29" spans="1:12" ht="24.95" customHeight="1" x14ac:dyDescent="0.25">
      <c r="A29" s="19"/>
      <c r="B29" s="20"/>
      <c r="C29" s="20"/>
      <c r="D29" s="19"/>
      <c r="E29" s="18"/>
      <c r="F29" s="18"/>
      <c r="G29" s="18"/>
      <c r="H29" s="18"/>
      <c r="I29" s="18"/>
      <c r="J29" s="18"/>
      <c r="K29" s="18"/>
    </row>
    <row r="30" spans="1:12" ht="24.75" customHeight="1" x14ac:dyDescent="0.25">
      <c r="A30" s="19"/>
      <c r="B30" s="20"/>
      <c r="C30" s="20"/>
      <c r="D30" s="19"/>
      <c r="E30" s="18"/>
      <c r="F30" s="18"/>
      <c r="G30" s="18"/>
      <c r="H30" s="18"/>
      <c r="I30" s="18"/>
      <c r="J30" s="18"/>
      <c r="K30" s="18"/>
    </row>
    <row r="31" spans="1:12" ht="24.95" customHeight="1" x14ac:dyDescent="0.25">
      <c r="A31" s="19"/>
      <c r="B31" s="20"/>
      <c r="C31" s="20"/>
      <c r="D31" s="19"/>
      <c r="E31" s="18"/>
      <c r="F31" s="18"/>
      <c r="G31" s="18"/>
      <c r="H31" s="18"/>
      <c r="I31" s="18"/>
      <c r="J31" s="18"/>
      <c r="K31" s="18"/>
    </row>
    <row r="32" spans="1:12" ht="24" customHeight="1" x14ac:dyDescent="0.25">
      <c r="A32" s="19"/>
      <c r="B32" s="20"/>
      <c r="C32" s="20"/>
      <c r="D32" s="19"/>
      <c r="E32" s="18"/>
      <c r="F32" s="18"/>
      <c r="G32" s="18"/>
      <c r="H32" s="18"/>
      <c r="I32" s="18"/>
      <c r="J32" s="18"/>
      <c r="K32" s="18"/>
    </row>
    <row r="33" spans="5:11" ht="24" customHeight="1" x14ac:dyDescent="0.25"/>
    <row r="34" spans="5:11" ht="18.75" customHeight="1" x14ac:dyDescent="0.25"/>
    <row r="35" spans="5:11" ht="22.5" customHeight="1" x14ac:dyDescent="0.25"/>
    <row r="36" spans="5:11" ht="24.75" customHeight="1" x14ac:dyDescent="0.25"/>
    <row r="37" spans="5:11" ht="23.25" customHeight="1" x14ac:dyDescent="0.25"/>
    <row r="38" spans="5:11" ht="23.25" customHeight="1" x14ac:dyDescent="0.25">
      <c r="E38" s="2"/>
      <c r="F38" s="2"/>
      <c r="G38" s="2"/>
      <c r="H38" s="2"/>
      <c r="I38" s="2"/>
      <c r="J38" s="2"/>
      <c r="K38" s="2"/>
    </row>
    <row r="39" spans="5:11" ht="23.25" customHeight="1" x14ac:dyDescent="0.25">
      <c r="E39" s="2"/>
      <c r="F39" s="2"/>
      <c r="G39" s="2"/>
      <c r="H39" s="2"/>
      <c r="I39" s="2"/>
      <c r="J39" s="2"/>
      <c r="K39" s="2"/>
    </row>
    <row r="40" spans="5:11" ht="23.25" customHeight="1" x14ac:dyDescent="0.25">
      <c r="E40" s="2"/>
      <c r="F40" s="2"/>
      <c r="G40" s="2"/>
      <c r="H40" s="2"/>
      <c r="I40" s="2"/>
      <c r="J40" s="2"/>
      <c r="K40" s="2"/>
    </row>
    <row r="41" spans="5:11" ht="84" customHeight="1" x14ac:dyDescent="0.25">
      <c r="E41" s="2"/>
      <c r="F41" s="2"/>
      <c r="G41" s="2"/>
      <c r="H41" s="2"/>
      <c r="I41" s="2"/>
      <c r="J41" s="2"/>
      <c r="K41" s="2"/>
    </row>
    <row r="42" spans="5:11" x14ac:dyDescent="0.25">
      <c r="E42" s="2"/>
      <c r="F42" s="2"/>
      <c r="G42" s="2"/>
      <c r="H42" s="2"/>
      <c r="I42" s="2"/>
      <c r="J42" s="2"/>
      <c r="K42" s="2"/>
    </row>
    <row r="43" spans="5:11" x14ac:dyDescent="0.25">
      <c r="E43" s="2"/>
      <c r="F43" s="2"/>
      <c r="G43" s="2"/>
      <c r="H43" s="2"/>
      <c r="I43" s="2"/>
      <c r="J43" s="2"/>
      <c r="K43" s="2"/>
    </row>
    <row r="44" spans="5:11" x14ac:dyDescent="0.25">
      <c r="E44" s="2"/>
      <c r="F44" s="2"/>
      <c r="G44" s="2"/>
      <c r="H44" s="2"/>
      <c r="I44" s="2"/>
      <c r="J44" s="2"/>
      <c r="K44" s="2"/>
    </row>
  </sheetData>
  <mergeCells count="15">
    <mergeCell ref="F25:G25"/>
    <mergeCell ref="H25:K25"/>
    <mergeCell ref="H26:K26"/>
    <mergeCell ref="H27:K27"/>
    <mergeCell ref="E7:J14"/>
    <mergeCell ref="E16:J16"/>
    <mergeCell ref="E17:J17"/>
    <mergeCell ref="E19:J24"/>
    <mergeCell ref="N14:P14"/>
    <mergeCell ref="L5:L6"/>
    <mergeCell ref="A1:K1"/>
    <mergeCell ref="A2:K2"/>
    <mergeCell ref="A3:K3"/>
    <mergeCell ref="E5:G5"/>
    <mergeCell ref="H5:J5"/>
  </mergeCells>
  <conditionalFormatting sqref="B7:C24">
    <cfRule type="cellIs" dxfId="27" priority="3" stopIfTrue="1" operator="equal">
      <formula>"A"</formula>
    </cfRule>
    <cfRule type="cellIs" dxfId="26" priority="4" stopIfTrue="1" operator="equal">
      <formula>"I"</formula>
    </cfRule>
    <cfRule type="cellIs" dxfId="25" priority="5" stopIfTrue="1" operator="equal">
      <formula>"S"</formula>
    </cfRule>
  </conditionalFormatting>
  <conditionalFormatting sqref="B7:C24">
    <cfRule type="cellIs" dxfId="24" priority="1" stopIfTrue="1" operator="equal">
      <formula>"E"</formula>
    </cfRule>
    <cfRule type="cellIs" dxfId="23" priority="2" stopIfTrue="1" operator="equal">
      <formula>"D"</formula>
    </cfRule>
  </conditionalFormatting>
  <pageMargins left="0.7" right="0.7" top="0.75" bottom="0.75" header="0.3" footer="0.3"/>
  <pageSetup paperSize="9" scale="58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2"/>
  <sheetViews>
    <sheetView workbookViewId="0">
      <selection activeCell="A5" sqref="A5:L6"/>
    </sheetView>
  </sheetViews>
  <sheetFormatPr defaultRowHeight="15.75" x14ac:dyDescent="0.25"/>
  <cols>
    <col min="1" max="1" width="5.140625" style="2" bestFit="1" customWidth="1"/>
    <col min="2" max="2" width="32.42578125" style="2" bestFit="1" customWidth="1"/>
    <col min="3" max="3" width="20.7109375" style="2" bestFit="1" customWidth="1"/>
    <col min="4" max="4" width="40.5703125" style="2" bestFit="1" customWidth="1"/>
    <col min="5" max="7" width="8.7109375" style="5" customWidth="1"/>
    <col min="8" max="8" width="11.5703125" style="5" bestFit="1" customWidth="1"/>
    <col min="9" max="9" width="11.85546875" style="5" bestFit="1" customWidth="1"/>
    <col min="10" max="10" width="10.85546875" style="5" customWidth="1"/>
    <col min="11" max="11" width="10.7109375" style="5" customWidth="1"/>
    <col min="12" max="13" width="9.140625" style="2"/>
    <col min="14" max="14" width="10" style="2" bestFit="1" customWidth="1"/>
    <col min="15" max="16384" width="9.140625" style="2"/>
  </cols>
  <sheetData>
    <row r="1" spans="1:17" ht="24.95" customHeight="1" x14ac:dyDescent="0.25">
      <c r="A1" s="119" t="s">
        <v>13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7" ht="24.95" customHeight="1" x14ac:dyDescent="0.25">
      <c r="A2" s="119" t="s">
        <v>62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</row>
    <row r="3" spans="1:17" ht="32.25" customHeight="1" x14ac:dyDescent="0.25">
      <c r="A3" s="119" t="s">
        <v>63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</row>
    <row r="4" spans="1:17" x14ac:dyDescent="0.25">
      <c r="A4" s="1"/>
      <c r="B4" s="8"/>
      <c r="C4" s="8"/>
      <c r="D4" s="1"/>
      <c r="E4" s="6"/>
      <c r="F4" s="6"/>
      <c r="G4" s="6"/>
      <c r="H4" s="6"/>
      <c r="I4" s="6"/>
      <c r="J4" s="6"/>
      <c r="K4" s="6"/>
    </row>
    <row r="5" spans="1:17" ht="20.100000000000001" customHeight="1" x14ac:dyDescent="0.25">
      <c r="D5"/>
      <c r="E5" s="133" t="s">
        <v>3</v>
      </c>
      <c r="F5" s="134"/>
      <c r="G5" s="135"/>
      <c r="H5" s="133" t="s">
        <v>4</v>
      </c>
      <c r="I5" s="134"/>
      <c r="J5" s="135"/>
      <c r="K5" s="104" t="s">
        <v>0</v>
      </c>
      <c r="L5" s="111" t="s">
        <v>349</v>
      </c>
    </row>
    <row r="6" spans="1:17" ht="20.100000000000001" customHeight="1" x14ac:dyDescent="0.25">
      <c r="A6" s="132" t="s">
        <v>1</v>
      </c>
      <c r="B6" s="131" t="s">
        <v>2</v>
      </c>
      <c r="C6" s="131" t="s">
        <v>16</v>
      </c>
      <c r="D6" t="s">
        <v>350</v>
      </c>
      <c r="E6" s="30" t="s">
        <v>5</v>
      </c>
      <c r="F6" s="31" t="s">
        <v>6</v>
      </c>
      <c r="G6" s="31" t="s">
        <v>7</v>
      </c>
      <c r="H6" s="30" t="s">
        <v>8</v>
      </c>
      <c r="I6" s="31" t="s">
        <v>9</v>
      </c>
      <c r="J6" s="31" t="s">
        <v>10</v>
      </c>
      <c r="K6" s="104" t="s">
        <v>0</v>
      </c>
      <c r="L6" s="112"/>
    </row>
    <row r="7" spans="1:17" ht="39.950000000000003" customHeight="1" x14ac:dyDescent="0.25">
      <c r="A7" s="54">
        <v>1</v>
      </c>
      <c r="B7" s="61" t="s">
        <v>102</v>
      </c>
      <c r="C7" s="62" t="s">
        <v>103</v>
      </c>
      <c r="D7" s="57" t="s">
        <v>101</v>
      </c>
      <c r="E7" s="116" t="s">
        <v>335</v>
      </c>
      <c r="F7" s="117"/>
      <c r="G7" s="117"/>
      <c r="H7" s="117"/>
      <c r="I7" s="117"/>
      <c r="J7" s="118"/>
      <c r="K7" s="58">
        <f>SUM(H7:J7)*10/3</f>
        <v>0</v>
      </c>
      <c r="L7" s="105" t="str">
        <f>VLOOKUP(K7,$O$10:$P$13,2,1)</f>
        <v>D</v>
      </c>
    </row>
    <row r="8" spans="1:17" ht="39.950000000000003" customHeight="1" x14ac:dyDescent="0.25">
      <c r="A8" s="10">
        <v>2</v>
      </c>
      <c r="B8" s="36" t="s">
        <v>104</v>
      </c>
      <c r="C8" s="37" t="s">
        <v>105</v>
      </c>
      <c r="D8" s="9" t="s">
        <v>101</v>
      </c>
      <c r="E8" s="11">
        <v>21</v>
      </c>
      <c r="F8" s="11">
        <v>22</v>
      </c>
      <c r="G8" s="11">
        <v>29</v>
      </c>
      <c r="H8" s="24">
        <v>45</v>
      </c>
      <c r="I8" s="24">
        <v>46</v>
      </c>
      <c r="J8" s="24">
        <v>47</v>
      </c>
      <c r="K8" s="12">
        <f t="shared" ref="K8:K22" si="0">SUM(H8:J8)*10/3</f>
        <v>460</v>
      </c>
      <c r="L8" s="105" t="str">
        <f t="shared" ref="L8:L22" si="1">VLOOKUP(K8,$O$10:$P$13,2,1)</f>
        <v>B</v>
      </c>
    </row>
    <row r="9" spans="1:17" ht="39.950000000000003" customHeight="1" x14ac:dyDescent="0.25">
      <c r="A9" s="54">
        <v>3</v>
      </c>
      <c r="B9" s="61" t="s">
        <v>106</v>
      </c>
      <c r="C9" s="62" t="s">
        <v>107</v>
      </c>
      <c r="D9" s="57" t="s">
        <v>101</v>
      </c>
      <c r="E9" s="122" t="s">
        <v>335</v>
      </c>
      <c r="F9" s="123"/>
      <c r="G9" s="123"/>
      <c r="H9" s="123"/>
      <c r="I9" s="123"/>
      <c r="J9" s="124"/>
      <c r="K9" s="58">
        <f t="shared" si="0"/>
        <v>0</v>
      </c>
      <c r="L9" s="105" t="str">
        <f t="shared" si="1"/>
        <v>D</v>
      </c>
      <c r="N9" s="105" t="s">
        <v>336</v>
      </c>
      <c r="O9" s="105" t="s">
        <v>337</v>
      </c>
      <c r="P9" s="105" t="s">
        <v>338</v>
      </c>
      <c r="Q9" s="105" t="s">
        <v>339</v>
      </c>
    </row>
    <row r="10" spans="1:17" ht="39.950000000000003" customHeight="1" x14ac:dyDescent="0.25">
      <c r="A10" s="54">
        <v>4</v>
      </c>
      <c r="B10" s="61" t="s">
        <v>108</v>
      </c>
      <c r="C10" s="62" t="s">
        <v>109</v>
      </c>
      <c r="D10" s="57" t="s">
        <v>101</v>
      </c>
      <c r="E10" s="125"/>
      <c r="F10" s="126"/>
      <c r="G10" s="126"/>
      <c r="H10" s="126"/>
      <c r="I10" s="126"/>
      <c r="J10" s="127"/>
      <c r="K10" s="58">
        <f t="shared" si="0"/>
        <v>0</v>
      </c>
      <c r="L10" s="105" t="str">
        <f t="shared" si="1"/>
        <v>D</v>
      </c>
      <c r="N10" s="106" t="s">
        <v>340</v>
      </c>
      <c r="O10" s="105">
        <v>0</v>
      </c>
      <c r="P10" s="105" t="s">
        <v>341</v>
      </c>
      <c r="Q10" s="105">
        <f>COUNTIF($L$7:$L$35,"D")</f>
        <v>15</v>
      </c>
    </row>
    <row r="11" spans="1:17" ht="39.950000000000003" customHeight="1" x14ac:dyDescent="0.25">
      <c r="A11" s="54">
        <v>5</v>
      </c>
      <c r="B11" s="61" t="s">
        <v>110</v>
      </c>
      <c r="C11" s="62" t="s">
        <v>111</v>
      </c>
      <c r="D11" s="57" t="s">
        <v>101</v>
      </c>
      <c r="E11" s="125"/>
      <c r="F11" s="126"/>
      <c r="G11" s="126"/>
      <c r="H11" s="126"/>
      <c r="I11" s="126"/>
      <c r="J11" s="127"/>
      <c r="K11" s="58">
        <f t="shared" si="0"/>
        <v>0</v>
      </c>
      <c r="L11" s="105" t="str">
        <f t="shared" si="1"/>
        <v>D</v>
      </c>
      <c r="N11" s="106" t="s">
        <v>342</v>
      </c>
      <c r="O11" s="105">
        <v>400</v>
      </c>
      <c r="P11" s="105" t="s">
        <v>343</v>
      </c>
      <c r="Q11" s="105">
        <f>COUNTIF($L$7:$L$35,"C")</f>
        <v>0</v>
      </c>
    </row>
    <row r="12" spans="1:17" ht="39.950000000000003" customHeight="1" x14ac:dyDescent="0.25">
      <c r="A12" s="54">
        <v>6</v>
      </c>
      <c r="B12" s="63" t="s">
        <v>112</v>
      </c>
      <c r="C12" s="64" t="s">
        <v>113</v>
      </c>
      <c r="D12" s="57" t="s">
        <v>101</v>
      </c>
      <c r="E12" s="125"/>
      <c r="F12" s="126"/>
      <c r="G12" s="126"/>
      <c r="H12" s="126"/>
      <c r="I12" s="126"/>
      <c r="J12" s="127"/>
      <c r="K12" s="58">
        <f t="shared" si="0"/>
        <v>0</v>
      </c>
      <c r="L12" s="105" t="str">
        <f t="shared" si="1"/>
        <v>D</v>
      </c>
      <c r="N12" s="106" t="s">
        <v>344</v>
      </c>
      <c r="O12" s="105">
        <v>450</v>
      </c>
      <c r="P12" s="105" t="s">
        <v>345</v>
      </c>
      <c r="Q12" s="105">
        <f>COUNTIF($L$7:$L$35,"B")</f>
        <v>1</v>
      </c>
    </row>
    <row r="13" spans="1:17" ht="39.950000000000003" customHeight="1" x14ac:dyDescent="0.25">
      <c r="A13" s="54">
        <v>7</v>
      </c>
      <c r="B13" s="63" t="s">
        <v>114</v>
      </c>
      <c r="C13" s="64" t="s">
        <v>115</v>
      </c>
      <c r="D13" s="57" t="s">
        <v>101</v>
      </c>
      <c r="E13" s="125"/>
      <c r="F13" s="126"/>
      <c r="G13" s="126"/>
      <c r="H13" s="126"/>
      <c r="I13" s="126"/>
      <c r="J13" s="127"/>
      <c r="K13" s="58">
        <f t="shared" si="0"/>
        <v>0</v>
      </c>
      <c r="L13" s="105" t="str">
        <f t="shared" si="1"/>
        <v>D</v>
      </c>
      <c r="N13" s="106" t="s">
        <v>346</v>
      </c>
      <c r="O13" s="105">
        <v>500</v>
      </c>
      <c r="P13" s="105" t="s">
        <v>347</v>
      </c>
      <c r="Q13" s="105">
        <f>COUNTIF($L$7:$L$35,"A")</f>
        <v>0</v>
      </c>
    </row>
    <row r="14" spans="1:17" ht="39.950000000000003" customHeight="1" x14ac:dyDescent="0.25">
      <c r="A14" s="54">
        <v>8</v>
      </c>
      <c r="B14" s="63" t="s">
        <v>116</v>
      </c>
      <c r="C14" s="64" t="s">
        <v>117</v>
      </c>
      <c r="D14" s="57" t="s">
        <v>101</v>
      </c>
      <c r="E14" s="125"/>
      <c r="F14" s="126"/>
      <c r="G14" s="126"/>
      <c r="H14" s="126"/>
      <c r="I14" s="126"/>
      <c r="J14" s="127"/>
      <c r="K14" s="58">
        <f t="shared" si="0"/>
        <v>0</v>
      </c>
      <c r="L14" s="105" t="str">
        <f t="shared" si="1"/>
        <v>D</v>
      </c>
      <c r="N14" s="108" t="s">
        <v>348</v>
      </c>
      <c r="O14" s="109"/>
      <c r="P14" s="110"/>
      <c r="Q14" s="107">
        <f>SUM(Q10:Q13)</f>
        <v>16</v>
      </c>
    </row>
    <row r="15" spans="1:17" ht="39.950000000000003" customHeight="1" x14ac:dyDescent="0.25">
      <c r="A15" s="54">
        <v>9</v>
      </c>
      <c r="B15" s="63" t="s">
        <v>118</v>
      </c>
      <c r="C15" s="64" t="s">
        <v>119</v>
      </c>
      <c r="D15" s="57" t="s">
        <v>101</v>
      </c>
      <c r="E15" s="125"/>
      <c r="F15" s="126"/>
      <c r="G15" s="126"/>
      <c r="H15" s="126"/>
      <c r="I15" s="126"/>
      <c r="J15" s="127"/>
      <c r="K15" s="58">
        <f t="shared" si="0"/>
        <v>0</v>
      </c>
      <c r="L15" s="105" t="str">
        <f t="shared" si="1"/>
        <v>D</v>
      </c>
    </row>
    <row r="16" spans="1:17" ht="39.950000000000003" customHeight="1" x14ac:dyDescent="0.25">
      <c r="A16" s="54">
        <v>10</v>
      </c>
      <c r="B16" s="63" t="s">
        <v>120</v>
      </c>
      <c r="C16" s="64" t="s">
        <v>121</v>
      </c>
      <c r="D16" s="57" t="s">
        <v>101</v>
      </c>
      <c r="E16" s="125"/>
      <c r="F16" s="126"/>
      <c r="G16" s="126"/>
      <c r="H16" s="126"/>
      <c r="I16" s="126"/>
      <c r="J16" s="127"/>
      <c r="K16" s="58">
        <f t="shared" si="0"/>
        <v>0</v>
      </c>
      <c r="L16" s="105" t="str">
        <f t="shared" si="1"/>
        <v>D</v>
      </c>
    </row>
    <row r="17" spans="1:12" ht="39.950000000000003" customHeight="1" x14ac:dyDescent="0.25">
      <c r="A17" s="54">
        <v>11</v>
      </c>
      <c r="B17" s="63" t="s">
        <v>122</v>
      </c>
      <c r="C17" s="64" t="s">
        <v>123</v>
      </c>
      <c r="D17" s="57" t="s">
        <v>101</v>
      </c>
      <c r="E17" s="125"/>
      <c r="F17" s="126"/>
      <c r="G17" s="126"/>
      <c r="H17" s="126"/>
      <c r="I17" s="126"/>
      <c r="J17" s="127"/>
      <c r="K17" s="58">
        <f t="shared" si="0"/>
        <v>0</v>
      </c>
      <c r="L17" s="105" t="str">
        <f t="shared" si="1"/>
        <v>D</v>
      </c>
    </row>
    <row r="18" spans="1:12" ht="39.950000000000003" customHeight="1" x14ac:dyDescent="0.25">
      <c r="A18" s="54">
        <v>12</v>
      </c>
      <c r="B18" s="63" t="s">
        <v>124</v>
      </c>
      <c r="C18" s="64" t="s">
        <v>125</v>
      </c>
      <c r="D18" s="57" t="s">
        <v>101</v>
      </c>
      <c r="E18" s="125"/>
      <c r="F18" s="126"/>
      <c r="G18" s="126"/>
      <c r="H18" s="126"/>
      <c r="I18" s="126"/>
      <c r="J18" s="127"/>
      <c r="K18" s="58">
        <f t="shared" si="0"/>
        <v>0</v>
      </c>
      <c r="L18" s="105" t="str">
        <f t="shared" si="1"/>
        <v>D</v>
      </c>
    </row>
    <row r="19" spans="1:12" ht="39.950000000000003" customHeight="1" x14ac:dyDescent="0.25">
      <c r="A19" s="54">
        <v>13</v>
      </c>
      <c r="B19" s="63" t="s">
        <v>126</v>
      </c>
      <c r="C19" s="64" t="s">
        <v>127</v>
      </c>
      <c r="D19" s="57" t="s">
        <v>101</v>
      </c>
      <c r="E19" s="125"/>
      <c r="F19" s="126"/>
      <c r="G19" s="126"/>
      <c r="H19" s="126"/>
      <c r="I19" s="126"/>
      <c r="J19" s="127"/>
      <c r="K19" s="58">
        <f t="shared" si="0"/>
        <v>0</v>
      </c>
      <c r="L19" s="105" t="str">
        <f t="shared" si="1"/>
        <v>D</v>
      </c>
    </row>
    <row r="20" spans="1:12" ht="39.950000000000003" customHeight="1" x14ac:dyDescent="0.25">
      <c r="A20" s="54">
        <v>14</v>
      </c>
      <c r="B20" s="63" t="s">
        <v>128</v>
      </c>
      <c r="C20" s="64" t="s">
        <v>129</v>
      </c>
      <c r="D20" s="57" t="s">
        <v>101</v>
      </c>
      <c r="E20" s="125"/>
      <c r="F20" s="126"/>
      <c r="G20" s="126"/>
      <c r="H20" s="126"/>
      <c r="I20" s="126"/>
      <c r="J20" s="127"/>
      <c r="K20" s="58">
        <f t="shared" si="0"/>
        <v>0</v>
      </c>
      <c r="L20" s="105" t="str">
        <f t="shared" si="1"/>
        <v>D</v>
      </c>
    </row>
    <row r="21" spans="1:12" ht="39.950000000000003" customHeight="1" x14ac:dyDescent="0.25">
      <c r="A21" s="54">
        <v>15</v>
      </c>
      <c r="B21" s="63" t="s">
        <v>130</v>
      </c>
      <c r="C21" s="64" t="s">
        <v>131</v>
      </c>
      <c r="D21" s="57" t="s">
        <v>101</v>
      </c>
      <c r="E21" s="125"/>
      <c r="F21" s="126"/>
      <c r="G21" s="126"/>
      <c r="H21" s="126"/>
      <c r="I21" s="126"/>
      <c r="J21" s="127"/>
      <c r="K21" s="58">
        <f t="shared" si="0"/>
        <v>0</v>
      </c>
      <c r="L21" s="105" t="str">
        <f t="shared" si="1"/>
        <v>D</v>
      </c>
    </row>
    <row r="22" spans="1:12" ht="39.950000000000003" customHeight="1" x14ac:dyDescent="0.25">
      <c r="A22" s="54">
        <v>16</v>
      </c>
      <c r="B22" s="63" t="s">
        <v>132</v>
      </c>
      <c r="C22" s="64" t="s">
        <v>133</v>
      </c>
      <c r="D22" s="57" t="s">
        <v>101</v>
      </c>
      <c r="E22" s="128"/>
      <c r="F22" s="129"/>
      <c r="G22" s="129"/>
      <c r="H22" s="129"/>
      <c r="I22" s="129"/>
      <c r="J22" s="130"/>
      <c r="K22" s="58">
        <f t="shared" si="0"/>
        <v>0</v>
      </c>
      <c r="L22" s="105" t="str">
        <f t="shared" si="1"/>
        <v>D</v>
      </c>
    </row>
    <row r="23" spans="1:12" ht="54.95" customHeight="1" x14ac:dyDescent="0.3">
      <c r="A23" s="14"/>
      <c r="B23" s="15"/>
      <c r="C23" s="15"/>
      <c r="D23" s="14"/>
      <c r="E23" s="16"/>
      <c r="F23" s="114"/>
      <c r="G23" s="114"/>
      <c r="H23" s="120" t="s">
        <v>14</v>
      </c>
      <c r="I23" s="120"/>
      <c r="J23" s="120"/>
      <c r="K23" s="120"/>
    </row>
    <row r="24" spans="1:12" ht="84.95" customHeight="1" x14ac:dyDescent="0.3">
      <c r="A24" s="14"/>
      <c r="B24" s="15"/>
      <c r="C24" s="15"/>
      <c r="D24" s="14"/>
      <c r="E24" s="16"/>
      <c r="F24" s="17"/>
      <c r="G24" s="16"/>
      <c r="H24" s="121" t="s">
        <v>11</v>
      </c>
      <c r="I24" s="121"/>
      <c r="J24" s="121"/>
      <c r="K24" s="121"/>
    </row>
    <row r="25" spans="1:12" ht="24.75" customHeight="1" x14ac:dyDescent="0.25">
      <c r="A25" s="14"/>
      <c r="B25" s="15"/>
      <c r="C25" s="15"/>
      <c r="D25" s="14"/>
      <c r="E25" s="16"/>
      <c r="F25" s="17"/>
      <c r="G25" s="17"/>
      <c r="H25" s="113" t="s">
        <v>12</v>
      </c>
      <c r="I25" s="113"/>
      <c r="J25" s="113"/>
      <c r="K25" s="113"/>
    </row>
    <row r="26" spans="1:12" ht="24.95" customHeight="1" x14ac:dyDescent="0.25">
      <c r="A26" s="14"/>
      <c r="B26" s="15"/>
      <c r="C26" s="15"/>
      <c r="D26" s="14"/>
      <c r="E26" s="16"/>
      <c r="F26" s="16"/>
      <c r="G26" s="16"/>
      <c r="H26" s="16"/>
      <c r="I26" s="16"/>
      <c r="J26" s="16"/>
      <c r="K26" s="18"/>
    </row>
    <row r="27" spans="1:12" ht="24.95" customHeight="1" x14ac:dyDescent="0.25">
      <c r="A27" s="19"/>
      <c r="B27" s="19"/>
      <c r="C27" s="19"/>
      <c r="D27" s="19"/>
      <c r="E27" s="18"/>
      <c r="F27" s="18"/>
      <c r="G27" s="18"/>
      <c r="H27" s="18"/>
      <c r="I27" s="18"/>
      <c r="J27" s="18"/>
      <c r="K27" s="18"/>
    </row>
    <row r="28" spans="1:12" ht="24.75" customHeight="1" x14ac:dyDescent="0.25">
      <c r="A28" s="19"/>
      <c r="B28" s="19"/>
      <c r="C28" s="19"/>
      <c r="D28" s="19"/>
      <c r="E28" s="18"/>
      <c r="F28" s="18"/>
      <c r="G28" s="18"/>
      <c r="H28" s="18"/>
      <c r="I28" s="18"/>
      <c r="J28" s="18"/>
      <c r="K28" s="18"/>
    </row>
    <row r="29" spans="1:12" ht="24.95" customHeight="1" x14ac:dyDescent="0.25">
      <c r="A29" s="19"/>
      <c r="B29" s="19"/>
      <c r="C29" s="19"/>
      <c r="D29" s="19"/>
      <c r="E29" s="18"/>
      <c r="F29" s="18"/>
      <c r="G29" s="18"/>
      <c r="H29" s="18"/>
      <c r="I29" s="18"/>
      <c r="J29" s="18"/>
      <c r="K29" s="18"/>
    </row>
    <row r="30" spans="1:12" ht="24" customHeight="1" x14ac:dyDescent="0.25">
      <c r="A30" s="19"/>
      <c r="B30" s="19"/>
      <c r="C30" s="19"/>
      <c r="D30" s="19"/>
      <c r="E30" s="18"/>
      <c r="F30" s="18"/>
      <c r="G30" s="18"/>
      <c r="H30" s="18"/>
      <c r="I30" s="18"/>
      <c r="J30" s="18"/>
      <c r="K30" s="18"/>
    </row>
    <row r="31" spans="1:12" ht="24" customHeight="1" x14ac:dyDescent="0.25"/>
    <row r="32" spans="1:12" ht="18.75" customHeight="1" x14ac:dyDescent="0.25"/>
    <row r="33" spans="5:11" ht="22.5" customHeight="1" x14ac:dyDescent="0.25"/>
    <row r="34" spans="5:11" ht="24.75" customHeight="1" x14ac:dyDescent="0.25"/>
    <row r="35" spans="5:11" ht="23.25" customHeight="1" x14ac:dyDescent="0.25"/>
    <row r="36" spans="5:11" ht="23.25" customHeight="1" x14ac:dyDescent="0.25">
      <c r="E36" s="2"/>
      <c r="F36" s="2"/>
      <c r="G36" s="2"/>
      <c r="H36" s="2"/>
      <c r="I36" s="2"/>
      <c r="J36" s="2"/>
      <c r="K36" s="2"/>
    </row>
    <row r="37" spans="5:11" ht="23.25" customHeight="1" x14ac:dyDescent="0.25">
      <c r="E37" s="2"/>
      <c r="F37" s="2"/>
      <c r="G37" s="2"/>
      <c r="H37" s="2"/>
      <c r="I37" s="2"/>
      <c r="J37" s="2"/>
      <c r="K37" s="2"/>
    </row>
    <row r="38" spans="5:11" ht="23.25" customHeight="1" x14ac:dyDescent="0.25">
      <c r="E38" s="2"/>
      <c r="F38" s="2"/>
      <c r="G38" s="2"/>
      <c r="H38" s="2"/>
      <c r="I38" s="2"/>
      <c r="J38" s="2"/>
      <c r="K38" s="2"/>
    </row>
    <row r="39" spans="5:11" ht="84" customHeight="1" x14ac:dyDescent="0.25">
      <c r="E39" s="2"/>
      <c r="F39" s="2"/>
      <c r="G39" s="2"/>
      <c r="H39" s="2"/>
      <c r="I39" s="2"/>
      <c r="J39" s="2"/>
      <c r="K39" s="2"/>
    </row>
    <row r="40" spans="5:11" x14ac:dyDescent="0.25">
      <c r="E40" s="2"/>
      <c r="F40" s="2"/>
      <c r="G40" s="2"/>
      <c r="H40" s="2"/>
      <c r="I40" s="2"/>
      <c r="J40" s="2"/>
      <c r="K40" s="2"/>
    </row>
    <row r="41" spans="5:11" x14ac:dyDescent="0.25">
      <c r="E41" s="2"/>
      <c r="F41" s="2"/>
      <c r="G41" s="2"/>
      <c r="H41" s="2"/>
      <c r="I41" s="2"/>
      <c r="J41" s="2"/>
      <c r="K41" s="2"/>
    </row>
    <row r="42" spans="5:11" x14ac:dyDescent="0.25">
      <c r="E42" s="2"/>
      <c r="F42" s="2"/>
      <c r="G42" s="2"/>
      <c r="H42" s="2"/>
      <c r="I42" s="2"/>
      <c r="J42" s="2"/>
      <c r="K42" s="2"/>
    </row>
  </sheetData>
  <mergeCells count="13">
    <mergeCell ref="F23:G23"/>
    <mergeCell ref="H23:K23"/>
    <mergeCell ref="H24:K24"/>
    <mergeCell ref="H25:K25"/>
    <mergeCell ref="E7:J7"/>
    <mergeCell ref="E9:J22"/>
    <mergeCell ref="N14:P14"/>
    <mergeCell ref="L5:L6"/>
    <mergeCell ref="A1:K1"/>
    <mergeCell ref="A2:K2"/>
    <mergeCell ref="A3:K3"/>
    <mergeCell ref="E5:G5"/>
    <mergeCell ref="H5:J5"/>
  </mergeCells>
  <conditionalFormatting sqref="B7:C22">
    <cfRule type="cellIs" dxfId="22" priority="3" stopIfTrue="1" operator="equal">
      <formula>"A"</formula>
    </cfRule>
    <cfRule type="cellIs" dxfId="21" priority="4" stopIfTrue="1" operator="equal">
      <formula>"I"</formula>
    </cfRule>
    <cfRule type="cellIs" dxfId="20" priority="5" stopIfTrue="1" operator="equal">
      <formula>"S"</formula>
    </cfRule>
  </conditionalFormatting>
  <conditionalFormatting sqref="B7:C11">
    <cfRule type="cellIs" dxfId="19" priority="1" stopIfTrue="1" operator="equal">
      <formula>"E"</formula>
    </cfRule>
    <cfRule type="cellIs" dxfId="18" priority="2" stopIfTrue="1" operator="equal">
      <formula>"D"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4"/>
  <sheetViews>
    <sheetView topLeftCell="A4" zoomScaleNormal="100" workbookViewId="0">
      <selection activeCell="A5" sqref="A5:L6"/>
    </sheetView>
  </sheetViews>
  <sheetFormatPr defaultRowHeight="15.75" x14ac:dyDescent="0.25"/>
  <cols>
    <col min="1" max="1" width="5.140625" style="2" bestFit="1" customWidth="1"/>
    <col min="2" max="2" width="36.85546875" style="21" bestFit="1" customWidth="1"/>
    <col min="3" max="3" width="20.7109375" style="5" bestFit="1" customWidth="1"/>
    <col min="4" max="4" width="39.140625" style="2" bestFit="1" customWidth="1"/>
    <col min="5" max="7" width="8.7109375" style="5" customWidth="1"/>
    <col min="8" max="8" width="10.7109375" style="5" customWidth="1"/>
    <col min="9" max="9" width="9.5703125" style="5" customWidth="1"/>
    <col min="10" max="10" width="10.85546875" style="5" bestFit="1" customWidth="1"/>
    <col min="11" max="11" width="10.7109375" style="5" customWidth="1"/>
    <col min="12" max="13" width="9.140625" style="2"/>
    <col min="14" max="14" width="10" style="2" bestFit="1" customWidth="1"/>
    <col min="15" max="16384" width="9.140625" style="2"/>
  </cols>
  <sheetData>
    <row r="1" spans="1:17" ht="24.95" customHeight="1" x14ac:dyDescent="0.25">
      <c r="A1" s="119" t="s">
        <v>13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7" ht="24.95" customHeight="1" x14ac:dyDescent="0.25">
      <c r="A2" s="119" t="s">
        <v>62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</row>
    <row r="3" spans="1:17" ht="30.75" customHeight="1" x14ac:dyDescent="0.25">
      <c r="A3" s="119" t="s">
        <v>63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</row>
    <row r="4" spans="1:17" x14ac:dyDescent="0.25">
      <c r="A4" s="1"/>
      <c r="B4" s="22"/>
      <c r="C4" s="7"/>
      <c r="D4" s="1"/>
      <c r="E4" s="6"/>
      <c r="F4" s="6"/>
      <c r="G4" s="6"/>
      <c r="H4" s="6"/>
      <c r="I4" s="6"/>
      <c r="J4" s="6"/>
      <c r="K4" s="6"/>
    </row>
    <row r="5" spans="1:17" ht="20.100000000000001" customHeight="1" x14ac:dyDescent="0.25">
      <c r="B5" s="2"/>
      <c r="C5" s="2"/>
      <c r="D5"/>
      <c r="E5" s="133" t="s">
        <v>3</v>
      </c>
      <c r="F5" s="134"/>
      <c r="G5" s="135"/>
      <c r="H5" s="133" t="s">
        <v>4</v>
      </c>
      <c r="I5" s="134"/>
      <c r="J5" s="135"/>
      <c r="K5" s="104" t="s">
        <v>0</v>
      </c>
      <c r="L5" s="111" t="s">
        <v>349</v>
      </c>
    </row>
    <row r="6" spans="1:17" ht="20.100000000000001" customHeight="1" x14ac:dyDescent="0.25">
      <c r="A6" s="132" t="s">
        <v>1</v>
      </c>
      <c r="B6" s="131" t="s">
        <v>2</v>
      </c>
      <c r="C6" s="131" t="s">
        <v>16</v>
      </c>
      <c r="D6" t="s">
        <v>350</v>
      </c>
      <c r="E6" s="30" t="s">
        <v>5</v>
      </c>
      <c r="F6" s="31" t="s">
        <v>6</v>
      </c>
      <c r="G6" s="31" t="s">
        <v>7</v>
      </c>
      <c r="H6" s="30" t="s">
        <v>8</v>
      </c>
      <c r="I6" s="31" t="s">
        <v>9</v>
      </c>
      <c r="J6" s="31" t="s">
        <v>10</v>
      </c>
      <c r="K6" s="104" t="s">
        <v>0</v>
      </c>
      <c r="L6" s="112"/>
    </row>
    <row r="7" spans="1:17" ht="39.950000000000003" customHeight="1" x14ac:dyDescent="0.25">
      <c r="A7" s="54">
        <v>1</v>
      </c>
      <c r="B7" s="65" t="s">
        <v>135</v>
      </c>
      <c r="C7" s="66" t="s">
        <v>136</v>
      </c>
      <c r="D7" s="57" t="s">
        <v>134</v>
      </c>
      <c r="E7" s="71"/>
      <c r="F7" s="72"/>
      <c r="G7" s="72"/>
      <c r="H7" s="72"/>
      <c r="I7" s="72"/>
      <c r="J7" s="73"/>
      <c r="K7" s="58">
        <f>SUM(H7:J7)*10/3</f>
        <v>0</v>
      </c>
      <c r="L7" s="105" t="str">
        <f>VLOOKUP(K7,$O$10:$P$13,2,1)</f>
        <v>D</v>
      </c>
    </row>
    <row r="8" spans="1:17" ht="39.950000000000003" customHeight="1" x14ac:dyDescent="0.25">
      <c r="A8" s="54">
        <v>2</v>
      </c>
      <c r="B8" s="65" t="s">
        <v>137</v>
      </c>
      <c r="C8" s="66" t="s">
        <v>138</v>
      </c>
      <c r="D8" s="57" t="s">
        <v>134</v>
      </c>
      <c r="E8" s="74"/>
      <c r="F8" s="75"/>
      <c r="G8" s="75"/>
      <c r="H8" s="75"/>
      <c r="I8" s="75"/>
      <c r="J8" s="76"/>
      <c r="K8" s="58">
        <f t="shared" ref="K8:K29" si="0">SUM(H8:J8)*10/3</f>
        <v>0</v>
      </c>
      <c r="L8" s="105" t="str">
        <f t="shared" ref="L8:L29" si="1">VLOOKUP(K8,$O$10:$P$13,2,1)</f>
        <v>D</v>
      </c>
    </row>
    <row r="9" spans="1:17" s="19" customFormat="1" ht="39.950000000000003" customHeight="1" x14ac:dyDescent="0.25">
      <c r="A9" s="10">
        <v>3</v>
      </c>
      <c r="B9" s="87" t="s">
        <v>139</v>
      </c>
      <c r="C9" s="88" t="s">
        <v>140</v>
      </c>
      <c r="D9" s="9" t="s">
        <v>134</v>
      </c>
      <c r="E9" s="11">
        <v>10</v>
      </c>
      <c r="F9" s="11">
        <v>10</v>
      </c>
      <c r="G9" s="11">
        <v>9</v>
      </c>
      <c r="H9" s="11">
        <v>33</v>
      </c>
      <c r="I9" s="11">
        <v>33</v>
      </c>
      <c r="J9" s="11">
        <v>28</v>
      </c>
      <c r="K9" s="12">
        <f t="shared" si="0"/>
        <v>313.33333333333331</v>
      </c>
      <c r="L9" s="105" t="str">
        <f t="shared" si="1"/>
        <v>D</v>
      </c>
      <c r="N9" s="105" t="s">
        <v>336</v>
      </c>
      <c r="O9" s="105" t="s">
        <v>337</v>
      </c>
      <c r="P9" s="105" t="s">
        <v>338</v>
      </c>
      <c r="Q9" s="105" t="s">
        <v>339</v>
      </c>
    </row>
    <row r="10" spans="1:17" ht="39.950000000000003" customHeight="1" x14ac:dyDescent="0.25">
      <c r="A10" s="54">
        <v>4</v>
      </c>
      <c r="B10" s="65" t="s">
        <v>141</v>
      </c>
      <c r="C10" s="66" t="s">
        <v>142</v>
      </c>
      <c r="D10" s="57" t="s">
        <v>134</v>
      </c>
      <c r="E10" s="74"/>
      <c r="F10" s="75"/>
      <c r="G10" s="75"/>
      <c r="H10" s="75"/>
      <c r="I10" s="75"/>
      <c r="J10" s="76"/>
      <c r="K10" s="58">
        <f t="shared" si="0"/>
        <v>0</v>
      </c>
      <c r="L10" s="105" t="str">
        <f t="shared" si="1"/>
        <v>D</v>
      </c>
      <c r="N10" s="106" t="s">
        <v>340</v>
      </c>
      <c r="O10" s="105">
        <v>0</v>
      </c>
      <c r="P10" s="105" t="s">
        <v>341</v>
      </c>
      <c r="Q10" s="105">
        <f>COUNTIF($L$7:$L$35,"D")</f>
        <v>22</v>
      </c>
    </row>
    <row r="11" spans="1:17" ht="39.950000000000003" customHeight="1" x14ac:dyDescent="0.25">
      <c r="A11" s="54">
        <v>5</v>
      </c>
      <c r="B11" s="65" t="s">
        <v>143</v>
      </c>
      <c r="C11" s="66" t="s">
        <v>144</v>
      </c>
      <c r="D11" s="57" t="s">
        <v>134</v>
      </c>
      <c r="E11" s="74"/>
      <c r="F11" s="75"/>
      <c r="G11" s="75"/>
      <c r="H11" s="75"/>
      <c r="I11" s="75"/>
      <c r="J11" s="76"/>
      <c r="K11" s="58">
        <f t="shared" si="0"/>
        <v>0</v>
      </c>
      <c r="L11" s="105" t="str">
        <f t="shared" si="1"/>
        <v>D</v>
      </c>
      <c r="N11" s="106" t="s">
        <v>342</v>
      </c>
      <c r="O11" s="105">
        <v>400</v>
      </c>
      <c r="P11" s="105" t="s">
        <v>343</v>
      </c>
      <c r="Q11" s="105">
        <f>COUNTIF($L$7:$L$35,"C")</f>
        <v>1</v>
      </c>
    </row>
    <row r="12" spans="1:17" ht="39.950000000000003" customHeight="1" x14ac:dyDescent="0.25">
      <c r="A12" s="54">
        <v>6</v>
      </c>
      <c r="B12" s="65" t="s">
        <v>145</v>
      </c>
      <c r="C12" s="66" t="s">
        <v>146</v>
      </c>
      <c r="D12" s="57" t="s">
        <v>134</v>
      </c>
      <c r="E12" s="77"/>
      <c r="F12" s="78"/>
      <c r="G12" s="78"/>
      <c r="H12" s="78"/>
      <c r="I12" s="78"/>
      <c r="J12" s="79"/>
      <c r="K12" s="58">
        <f t="shared" si="0"/>
        <v>0</v>
      </c>
      <c r="L12" s="105" t="str">
        <f t="shared" si="1"/>
        <v>D</v>
      </c>
      <c r="N12" s="106" t="s">
        <v>344</v>
      </c>
      <c r="O12" s="105">
        <v>450</v>
      </c>
      <c r="P12" s="105" t="s">
        <v>345</v>
      </c>
      <c r="Q12" s="105">
        <f>COUNTIF($L$7:$L$35,"B")</f>
        <v>0</v>
      </c>
    </row>
    <row r="13" spans="1:17" ht="39.950000000000003" customHeight="1" x14ac:dyDescent="0.25">
      <c r="A13" s="10">
        <v>7</v>
      </c>
      <c r="B13" s="38" t="s">
        <v>147</v>
      </c>
      <c r="C13" s="40" t="s">
        <v>148</v>
      </c>
      <c r="D13" s="9" t="s">
        <v>134</v>
      </c>
      <c r="E13" s="11">
        <v>11</v>
      </c>
      <c r="F13" s="11">
        <v>10</v>
      </c>
      <c r="G13" s="11">
        <v>15</v>
      </c>
      <c r="H13" s="24">
        <v>35</v>
      </c>
      <c r="I13" s="24">
        <v>33</v>
      </c>
      <c r="J13" s="24">
        <v>35</v>
      </c>
      <c r="K13" s="12">
        <f t="shared" si="0"/>
        <v>343.33333333333331</v>
      </c>
      <c r="L13" s="105" t="str">
        <f t="shared" si="1"/>
        <v>D</v>
      </c>
      <c r="N13" s="106" t="s">
        <v>346</v>
      </c>
      <c r="O13" s="105">
        <v>500</v>
      </c>
      <c r="P13" s="105" t="s">
        <v>347</v>
      </c>
      <c r="Q13" s="105">
        <f>COUNTIF($L$7:$L$35,"A")</f>
        <v>0</v>
      </c>
    </row>
    <row r="14" spans="1:17" ht="39.950000000000003" customHeight="1" x14ac:dyDescent="0.25">
      <c r="A14" s="54">
        <v>8</v>
      </c>
      <c r="B14" s="65" t="s">
        <v>149</v>
      </c>
      <c r="C14" s="66" t="s">
        <v>150</v>
      </c>
      <c r="D14" s="57" t="s">
        <v>134</v>
      </c>
      <c r="E14" s="71"/>
      <c r="F14" s="72"/>
      <c r="G14" s="72"/>
      <c r="H14" s="72"/>
      <c r="I14" s="72"/>
      <c r="J14" s="73"/>
      <c r="K14" s="58">
        <f t="shared" si="0"/>
        <v>0</v>
      </c>
      <c r="L14" s="105" t="str">
        <f t="shared" si="1"/>
        <v>D</v>
      </c>
      <c r="N14" s="108" t="s">
        <v>348</v>
      </c>
      <c r="O14" s="109"/>
      <c r="P14" s="110"/>
      <c r="Q14" s="107">
        <f>SUM(Q10:Q13)</f>
        <v>23</v>
      </c>
    </row>
    <row r="15" spans="1:17" ht="39.950000000000003" customHeight="1" x14ac:dyDescent="0.25">
      <c r="A15" s="54">
        <v>9</v>
      </c>
      <c r="B15" s="65" t="s">
        <v>151</v>
      </c>
      <c r="C15" s="66" t="s">
        <v>152</v>
      </c>
      <c r="D15" s="57" t="s">
        <v>134</v>
      </c>
      <c r="E15" s="74"/>
      <c r="F15" s="75"/>
      <c r="G15" s="75"/>
      <c r="H15" s="75"/>
      <c r="I15" s="75"/>
      <c r="J15" s="76"/>
      <c r="K15" s="58">
        <f t="shared" si="0"/>
        <v>0</v>
      </c>
      <c r="L15" s="105" t="str">
        <f t="shared" si="1"/>
        <v>D</v>
      </c>
    </row>
    <row r="16" spans="1:17" ht="39.950000000000003" customHeight="1" x14ac:dyDescent="0.25">
      <c r="A16" s="54">
        <v>10</v>
      </c>
      <c r="B16" s="65" t="s">
        <v>153</v>
      </c>
      <c r="C16" s="66" t="s">
        <v>154</v>
      </c>
      <c r="D16" s="57" t="s">
        <v>134</v>
      </c>
      <c r="E16" s="74"/>
      <c r="F16" s="75"/>
      <c r="G16" s="75"/>
      <c r="H16" s="75"/>
      <c r="I16" s="75"/>
      <c r="J16" s="76"/>
      <c r="K16" s="58">
        <f t="shared" si="0"/>
        <v>0</v>
      </c>
      <c r="L16" s="105" t="str">
        <f t="shared" si="1"/>
        <v>D</v>
      </c>
    </row>
    <row r="17" spans="1:12" s="85" customFormat="1" ht="39.950000000000003" customHeight="1" x14ac:dyDescent="0.25">
      <c r="A17" s="80">
        <v>11</v>
      </c>
      <c r="B17" s="81" t="s">
        <v>155</v>
      </c>
      <c r="C17" s="82" t="s">
        <v>156</v>
      </c>
      <c r="D17" s="83" t="s">
        <v>134</v>
      </c>
      <c r="E17" s="86">
        <v>7</v>
      </c>
      <c r="F17" s="86">
        <v>12</v>
      </c>
      <c r="G17" s="86">
        <v>11</v>
      </c>
      <c r="H17" s="86">
        <v>31</v>
      </c>
      <c r="I17" s="86">
        <v>36</v>
      </c>
      <c r="J17" s="86">
        <v>30</v>
      </c>
      <c r="K17" s="84">
        <f t="shared" si="0"/>
        <v>323.33333333333331</v>
      </c>
      <c r="L17" s="105" t="str">
        <f t="shared" si="1"/>
        <v>D</v>
      </c>
    </row>
    <row r="18" spans="1:12" s="19" customFormat="1" ht="39.950000000000003" customHeight="1" x14ac:dyDescent="0.25">
      <c r="A18" s="10">
        <v>12</v>
      </c>
      <c r="B18" s="87" t="s">
        <v>157</v>
      </c>
      <c r="C18" s="88" t="s">
        <v>158</v>
      </c>
      <c r="D18" s="9" t="s">
        <v>134</v>
      </c>
      <c r="E18" s="11">
        <v>11</v>
      </c>
      <c r="F18" s="11">
        <v>9</v>
      </c>
      <c r="G18" s="11">
        <v>16</v>
      </c>
      <c r="H18" s="11">
        <v>35</v>
      </c>
      <c r="I18" s="11">
        <v>31</v>
      </c>
      <c r="J18" s="11">
        <v>36</v>
      </c>
      <c r="K18" s="12">
        <f t="shared" si="0"/>
        <v>340</v>
      </c>
      <c r="L18" s="105" t="str">
        <f t="shared" si="1"/>
        <v>D</v>
      </c>
    </row>
    <row r="19" spans="1:12" ht="39.950000000000003" customHeight="1" x14ac:dyDescent="0.25">
      <c r="A19" s="54">
        <v>13</v>
      </c>
      <c r="B19" s="65" t="s">
        <v>159</v>
      </c>
      <c r="C19" s="66" t="s">
        <v>160</v>
      </c>
      <c r="D19" s="57" t="s">
        <v>134</v>
      </c>
      <c r="E19" s="74"/>
      <c r="F19" s="75"/>
      <c r="G19" s="75"/>
      <c r="H19" s="75"/>
      <c r="I19" s="75"/>
      <c r="J19" s="76"/>
      <c r="K19" s="58">
        <f t="shared" si="0"/>
        <v>0</v>
      </c>
      <c r="L19" s="105" t="str">
        <f t="shared" si="1"/>
        <v>D</v>
      </c>
    </row>
    <row r="20" spans="1:12" ht="39.950000000000003" customHeight="1" x14ac:dyDescent="0.25">
      <c r="A20" s="54">
        <v>14</v>
      </c>
      <c r="B20" s="65" t="s">
        <v>15</v>
      </c>
      <c r="C20" s="66" t="s">
        <v>161</v>
      </c>
      <c r="D20" s="57" t="s">
        <v>134</v>
      </c>
      <c r="E20" s="74"/>
      <c r="F20" s="75"/>
      <c r="G20" s="75"/>
      <c r="H20" s="75"/>
      <c r="I20" s="75"/>
      <c r="J20" s="76"/>
      <c r="K20" s="58">
        <f t="shared" si="0"/>
        <v>0</v>
      </c>
      <c r="L20" s="105" t="str">
        <f t="shared" si="1"/>
        <v>D</v>
      </c>
    </row>
    <row r="21" spans="1:12" ht="39.950000000000003" customHeight="1" x14ac:dyDescent="0.25">
      <c r="A21" s="54">
        <v>15</v>
      </c>
      <c r="B21" s="65" t="s">
        <v>162</v>
      </c>
      <c r="C21" s="66" t="s">
        <v>163</v>
      </c>
      <c r="D21" s="57" t="s">
        <v>134</v>
      </c>
      <c r="E21" s="74"/>
      <c r="F21" s="75"/>
      <c r="G21" s="75"/>
      <c r="H21" s="75"/>
      <c r="I21" s="75"/>
      <c r="J21" s="76"/>
      <c r="K21" s="58">
        <f t="shared" si="0"/>
        <v>0</v>
      </c>
      <c r="L21" s="105" t="str">
        <f t="shared" si="1"/>
        <v>D</v>
      </c>
    </row>
    <row r="22" spans="1:12" ht="39.950000000000003" customHeight="1" x14ac:dyDescent="0.25">
      <c r="A22" s="54">
        <v>16</v>
      </c>
      <c r="B22" s="65" t="s">
        <v>164</v>
      </c>
      <c r="C22" s="66" t="s">
        <v>165</v>
      </c>
      <c r="D22" s="57" t="s">
        <v>134</v>
      </c>
      <c r="E22" s="74"/>
      <c r="F22" s="75"/>
      <c r="G22" s="75"/>
      <c r="H22" s="75"/>
      <c r="I22" s="75"/>
      <c r="J22" s="76"/>
      <c r="K22" s="58">
        <f t="shared" si="0"/>
        <v>0</v>
      </c>
      <c r="L22" s="105" t="str">
        <f t="shared" si="1"/>
        <v>D</v>
      </c>
    </row>
    <row r="23" spans="1:12" ht="39.950000000000003" customHeight="1" x14ac:dyDescent="0.25">
      <c r="A23" s="54">
        <v>17</v>
      </c>
      <c r="B23" s="65" t="s">
        <v>166</v>
      </c>
      <c r="C23" s="66" t="s">
        <v>167</v>
      </c>
      <c r="D23" s="57" t="s">
        <v>134</v>
      </c>
      <c r="E23" s="74"/>
      <c r="F23" s="75"/>
      <c r="G23" s="75"/>
      <c r="H23" s="75"/>
      <c r="I23" s="75"/>
      <c r="J23" s="76"/>
      <c r="K23" s="58">
        <f t="shared" si="0"/>
        <v>0</v>
      </c>
      <c r="L23" s="105" t="str">
        <f t="shared" si="1"/>
        <v>D</v>
      </c>
    </row>
    <row r="24" spans="1:12" ht="39.950000000000003" customHeight="1" x14ac:dyDescent="0.25">
      <c r="A24" s="54">
        <v>18</v>
      </c>
      <c r="B24" s="65" t="s">
        <v>168</v>
      </c>
      <c r="C24" s="66" t="s">
        <v>169</v>
      </c>
      <c r="D24" s="57" t="s">
        <v>134</v>
      </c>
      <c r="E24" s="77"/>
      <c r="F24" s="78"/>
      <c r="G24" s="78"/>
      <c r="H24" s="78"/>
      <c r="I24" s="78"/>
      <c r="J24" s="79"/>
      <c r="K24" s="58">
        <f t="shared" si="0"/>
        <v>0</v>
      </c>
      <c r="L24" s="105" t="str">
        <f t="shared" si="1"/>
        <v>D</v>
      </c>
    </row>
    <row r="25" spans="1:12" ht="39.950000000000003" customHeight="1" x14ac:dyDescent="0.25">
      <c r="A25" s="10">
        <v>19</v>
      </c>
      <c r="B25" s="38" t="s">
        <v>170</v>
      </c>
      <c r="C25" s="40" t="s">
        <v>171</v>
      </c>
      <c r="D25" s="9" t="s">
        <v>134</v>
      </c>
      <c r="E25" s="11">
        <v>8</v>
      </c>
      <c r="F25" s="11">
        <v>8</v>
      </c>
      <c r="G25" s="11">
        <v>17</v>
      </c>
      <c r="H25" s="24">
        <v>32</v>
      </c>
      <c r="I25" s="24">
        <v>29</v>
      </c>
      <c r="J25" s="24">
        <v>37</v>
      </c>
      <c r="K25" s="12">
        <f t="shared" si="0"/>
        <v>326.66666666666669</v>
      </c>
      <c r="L25" s="105" t="str">
        <f t="shared" si="1"/>
        <v>D</v>
      </c>
    </row>
    <row r="26" spans="1:12" ht="39.950000000000003" customHeight="1" x14ac:dyDescent="0.25">
      <c r="A26" s="10">
        <v>20</v>
      </c>
      <c r="B26" s="38" t="s">
        <v>172</v>
      </c>
      <c r="C26" s="40" t="s">
        <v>173</v>
      </c>
      <c r="D26" s="9" t="s">
        <v>134</v>
      </c>
      <c r="E26" s="11">
        <v>14</v>
      </c>
      <c r="F26" s="11">
        <v>15</v>
      </c>
      <c r="G26" s="11">
        <v>21</v>
      </c>
      <c r="H26" s="24">
        <v>39</v>
      </c>
      <c r="I26" s="24">
        <v>40</v>
      </c>
      <c r="J26" s="24">
        <v>41</v>
      </c>
      <c r="K26" s="12">
        <f t="shared" si="0"/>
        <v>400</v>
      </c>
      <c r="L26" s="105" t="str">
        <f t="shared" si="1"/>
        <v>C</v>
      </c>
    </row>
    <row r="27" spans="1:12" ht="39.950000000000003" customHeight="1" x14ac:dyDescent="0.25">
      <c r="A27" s="54">
        <v>21</v>
      </c>
      <c r="B27" s="65" t="s">
        <v>174</v>
      </c>
      <c r="C27" s="66" t="s">
        <v>175</v>
      </c>
      <c r="D27" s="57" t="s">
        <v>134</v>
      </c>
      <c r="E27" s="116" t="s">
        <v>335</v>
      </c>
      <c r="F27" s="117"/>
      <c r="G27" s="117"/>
      <c r="H27" s="117"/>
      <c r="I27" s="117"/>
      <c r="J27" s="118"/>
      <c r="K27" s="58">
        <f t="shared" si="0"/>
        <v>0</v>
      </c>
      <c r="L27" s="105" t="str">
        <f t="shared" si="1"/>
        <v>D</v>
      </c>
    </row>
    <row r="28" spans="1:12" ht="39.950000000000003" customHeight="1" x14ac:dyDescent="0.25">
      <c r="A28" s="54">
        <v>22</v>
      </c>
      <c r="B28" s="65" t="s">
        <v>176</v>
      </c>
      <c r="C28" s="66" t="s">
        <v>177</v>
      </c>
      <c r="D28" s="57" t="s">
        <v>134</v>
      </c>
      <c r="E28" s="116" t="s">
        <v>335</v>
      </c>
      <c r="F28" s="117"/>
      <c r="G28" s="117"/>
      <c r="H28" s="117"/>
      <c r="I28" s="117"/>
      <c r="J28" s="118"/>
      <c r="K28" s="58">
        <f t="shared" si="0"/>
        <v>0</v>
      </c>
      <c r="L28" s="105" t="str">
        <f t="shared" si="1"/>
        <v>D</v>
      </c>
    </row>
    <row r="29" spans="1:12" ht="39.950000000000003" customHeight="1" x14ac:dyDescent="0.25">
      <c r="A29" s="10">
        <v>23</v>
      </c>
      <c r="B29" s="38" t="s">
        <v>178</v>
      </c>
      <c r="C29" s="40" t="s">
        <v>179</v>
      </c>
      <c r="D29" s="9" t="s">
        <v>134</v>
      </c>
      <c r="E29" s="11">
        <v>11</v>
      </c>
      <c r="F29" s="11">
        <v>10</v>
      </c>
      <c r="G29" s="11">
        <v>26</v>
      </c>
      <c r="H29" s="24">
        <v>35</v>
      </c>
      <c r="I29" s="24">
        <v>33</v>
      </c>
      <c r="J29" s="24">
        <v>45</v>
      </c>
      <c r="K29" s="12">
        <f t="shared" si="0"/>
        <v>376.66666666666669</v>
      </c>
      <c r="L29" s="105" t="str">
        <f t="shared" si="1"/>
        <v>D</v>
      </c>
    </row>
    <row r="30" spans="1:12" ht="54.95" customHeight="1" x14ac:dyDescent="0.3">
      <c r="A30" s="14"/>
      <c r="B30" s="39"/>
      <c r="C30" s="41"/>
      <c r="D30" s="14"/>
      <c r="E30" s="16"/>
      <c r="F30" s="114"/>
      <c r="G30" s="114"/>
      <c r="H30" s="120" t="s">
        <v>14</v>
      </c>
      <c r="I30" s="120"/>
      <c r="J30" s="120"/>
      <c r="K30" s="120"/>
    </row>
    <row r="31" spans="1:12" ht="84.95" customHeight="1" x14ac:dyDescent="0.3">
      <c r="A31" s="14"/>
      <c r="B31" s="39"/>
      <c r="C31" s="41"/>
      <c r="D31" s="14"/>
      <c r="E31" s="16"/>
      <c r="F31" s="17"/>
      <c r="G31" s="16"/>
      <c r="H31" s="121" t="s">
        <v>11</v>
      </c>
      <c r="I31" s="121"/>
      <c r="J31" s="121"/>
      <c r="K31" s="121"/>
    </row>
    <row r="32" spans="1:12" ht="24" customHeight="1" x14ac:dyDescent="0.25">
      <c r="A32" s="14"/>
      <c r="B32" s="39"/>
      <c r="C32" s="41"/>
      <c r="D32" s="14"/>
      <c r="E32" s="16"/>
      <c r="F32" s="17"/>
      <c r="G32" s="17"/>
      <c r="H32" s="113" t="s">
        <v>12</v>
      </c>
      <c r="I32" s="113"/>
      <c r="J32" s="113"/>
      <c r="K32" s="113"/>
    </row>
    <row r="33" spans="1:11" ht="24.95" customHeight="1" x14ac:dyDescent="0.25">
      <c r="A33" s="14"/>
      <c r="B33" s="39"/>
      <c r="C33" s="41"/>
      <c r="D33" s="14"/>
      <c r="E33" s="16"/>
      <c r="F33" s="16"/>
      <c r="G33" s="16"/>
      <c r="H33" s="16"/>
      <c r="I33" s="16"/>
      <c r="J33" s="16"/>
      <c r="K33" s="18"/>
    </row>
    <row r="34" spans="1:11" ht="24.95" customHeight="1" x14ac:dyDescent="0.25">
      <c r="A34" s="19"/>
      <c r="B34" s="39"/>
      <c r="C34" s="41"/>
      <c r="D34" s="19"/>
      <c r="E34" s="18"/>
      <c r="F34" s="18"/>
      <c r="G34" s="18"/>
      <c r="H34" s="18"/>
      <c r="I34" s="18"/>
      <c r="J34" s="18"/>
      <c r="K34" s="18"/>
    </row>
    <row r="35" spans="1:11" ht="24.75" customHeight="1" x14ac:dyDescent="0.25">
      <c r="A35" s="19"/>
      <c r="B35" s="39"/>
      <c r="C35" s="41"/>
      <c r="D35" s="19"/>
      <c r="E35" s="18"/>
      <c r="F35" s="18"/>
      <c r="G35" s="18"/>
      <c r="H35" s="18"/>
      <c r="I35" s="18"/>
      <c r="J35" s="18"/>
      <c r="K35" s="18"/>
    </row>
    <row r="36" spans="1:11" ht="24.95" customHeight="1" x14ac:dyDescent="0.25">
      <c r="A36" s="19"/>
      <c r="B36" s="20"/>
      <c r="C36" s="18"/>
    </row>
    <row r="37" spans="1:11" ht="24" customHeight="1" x14ac:dyDescent="0.25"/>
    <row r="38" spans="1:11" ht="24" customHeight="1" x14ac:dyDescent="0.25"/>
    <row r="39" spans="1:11" ht="18.75" customHeight="1" x14ac:dyDescent="0.25"/>
    <row r="40" spans="1:11" ht="22.5" customHeight="1" x14ac:dyDescent="0.25"/>
    <row r="41" spans="1:11" ht="24.75" customHeight="1" x14ac:dyDescent="0.25"/>
    <row r="42" spans="1:11" ht="23.25" customHeight="1" x14ac:dyDescent="0.25"/>
    <row r="43" spans="1:11" ht="23.25" customHeight="1" x14ac:dyDescent="0.25">
      <c r="E43" s="2"/>
      <c r="F43" s="2"/>
      <c r="G43" s="2"/>
      <c r="H43" s="2"/>
      <c r="I43" s="2"/>
      <c r="J43" s="2"/>
      <c r="K43" s="2"/>
    </row>
    <row r="44" spans="1:11" ht="23.25" customHeight="1" x14ac:dyDescent="0.25">
      <c r="E44" s="2"/>
      <c r="F44" s="2"/>
      <c r="G44" s="2"/>
      <c r="H44" s="2"/>
      <c r="I44" s="2"/>
      <c r="J44" s="2"/>
      <c r="K44" s="2"/>
    </row>
    <row r="45" spans="1:11" ht="23.25" customHeight="1" x14ac:dyDescent="0.25">
      <c r="E45" s="2"/>
      <c r="F45" s="2"/>
      <c r="G45" s="2"/>
      <c r="H45" s="2"/>
      <c r="I45" s="2"/>
      <c r="J45" s="2"/>
      <c r="K45" s="2"/>
    </row>
    <row r="46" spans="1:11" ht="84" customHeight="1" x14ac:dyDescent="0.25">
      <c r="E46" s="2"/>
      <c r="F46" s="2"/>
      <c r="G46" s="2"/>
      <c r="H46" s="2"/>
      <c r="I46" s="2"/>
      <c r="J46" s="2"/>
      <c r="K46" s="2"/>
    </row>
    <row r="47" spans="1:11" x14ac:dyDescent="0.25">
      <c r="E47" s="2"/>
      <c r="F47" s="2"/>
      <c r="G47" s="2"/>
      <c r="H47" s="2"/>
      <c r="I47" s="2"/>
      <c r="J47" s="2"/>
      <c r="K47" s="2"/>
    </row>
    <row r="48" spans="1:11" x14ac:dyDescent="0.25">
      <c r="E48" s="2"/>
      <c r="F48" s="2"/>
      <c r="G48" s="2"/>
      <c r="H48" s="2"/>
      <c r="I48" s="2"/>
      <c r="J48" s="2"/>
      <c r="K48" s="2"/>
    </row>
    <row r="49" spans="5:11" x14ac:dyDescent="0.25">
      <c r="E49" s="2"/>
      <c r="F49" s="2"/>
      <c r="G49" s="2"/>
      <c r="H49" s="2"/>
      <c r="I49" s="2"/>
      <c r="J49" s="2"/>
      <c r="K49" s="2"/>
    </row>
    <row r="50" spans="5:11" x14ac:dyDescent="0.25">
      <c r="E50" s="2"/>
      <c r="F50" s="2"/>
      <c r="G50" s="2"/>
      <c r="H50" s="2"/>
      <c r="I50" s="2"/>
      <c r="J50" s="2"/>
      <c r="K50" s="2"/>
    </row>
    <row r="51" spans="5:11" x14ac:dyDescent="0.25">
      <c r="E51" s="2"/>
      <c r="F51" s="2"/>
      <c r="G51" s="2"/>
      <c r="H51" s="2"/>
      <c r="I51" s="2"/>
      <c r="J51" s="2"/>
      <c r="K51" s="2"/>
    </row>
    <row r="52" spans="5:11" x14ac:dyDescent="0.25">
      <c r="E52" s="2"/>
      <c r="F52" s="2"/>
      <c r="G52" s="2"/>
      <c r="H52" s="2"/>
      <c r="I52" s="2"/>
      <c r="J52" s="2"/>
      <c r="K52" s="2"/>
    </row>
    <row r="53" spans="5:11" x14ac:dyDescent="0.25">
      <c r="E53" s="2"/>
      <c r="F53" s="2"/>
      <c r="G53" s="2"/>
      <c r="H53" s="2"/>
      <c r="I53" s="2"/>
      <c r="J53" s="2"/>
      <c r="K53" s="2"/>
    </row>
    <row r="54" spans="5:11" x14ac:dyDescent="0.25">
      <c r="E54" s="2"/>
      <c r="F54" s="2"/>
      <c r="G54" s="2"/>
      <c r="H54" s="2"/>
      <c r="I54" s="2"/>
      <c r="J54" s="2"/>
      <c r="K54" s="2"/>
    </row>
  </sheetData>
  <mergeCells count="13">
    <mergeCell ref="F30:G30"/>
    <mergeCell ref="H30:K30"/>
    <mergeCell ref="H31:K31"/>
    <mergeCell ref="H32:K32"/>
    <mergeCell ref="E27:J27"/>
    <mergeCell ref="E28:J28"/>
    <mergeCell ref="N14:P14"/>
    <mergeCell ref="L5:L6"/>
    <mergeCell ref="A1:K1"/>
    <mergeCell ref="A2:K2"/>
    <mergeCell ref="A3:K3"/>
    <mergeCell ref="E5:G5"/>
    <mergeCell ref="H5:J5"/>
  </mergeCells>
  <conditionalFormatting sqref="B7:C35">
    <cfRule type="cellIs" dxfId="17" priority="3" stopIfTrue="1" operator="equal">
      <formula>"A"</formula>
    </cfRule>
    <cfRule type="cellIs" dxfId="16" priority="4" stopIfTrue="1" operator="equal">
      <formula>"I"</formula>
    </cfRule>
    <cfRule type="cellIs" dxfId="15" priority="5" stopIfTrue="1" operator="equal">
      <formula>"S"</formula>
    </cfRule>
  </conditionalFormatting>
  <conditionalFormatting sqref="B7:C35">
    <cfRule type="cellIs" dxfId="14" priority="1" stopIfTrue="1" operator="equal">
      <formula>"E"</formula>
    </cfRule>
    <cfRule type="cellIs" dxfId="13" priority="2" stopIfTrue="1" operator="equal">
      <formula>"D"</formula>
    </cfRule>
  </conditionalFormatting>
  <pageMargins left="0.7" right="0.7" top="0.75" bottom="0.75" header="0.3" footer="0.3"/>
  <pageSetup paperSize="9" scale="57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6"/>
  <sheetViews>
    <sheetView zoomScaleNormal="100" workbookViewId="0">
      <selection activeCell="A5" sqref="A5:L6"/>
    </sheetView>
  </sheetViews>
  <sheetFormatPr defaultRowHeight="18.75" x14ac:dyDescent="0.25"/>
  <cols>
    <col min="1" max="1" width="5.140625" style="2" bestFit="1" customWidth="1"/>
    <col min="2" max="2" width="37.5703125" style="28" bestFit="1" customWidth="1"/>
    <col min="3" max="3" width="18.42578125" style="47" bestFit="1" customWidth="1"/>
    <col min="4" max="4" width="39" style="2" bestFit="1" customWidth="1"/>
    <col min="5" max="7" width="8.7109375" style="5" customWidth="1"/>
    <col min="8" max="8" width="11.5703125" style="5" bestFit="1" customWidth="1"/>
    <col min="9" max="9" width="11.85546875" style="5" bestFit="1" customWidth="1"/>
    <col min="10" max="10" width="10.85546875" style="5" bestFit="1" customWidth="1"/>
    <col min="11" max="11" width="10.7109375" style="5" customWidth="1"/>
    <col min="12" max="13" width="9.140625" style="2"/>
    <col min="14" max="14" width="10" style="2" bestFit="1" customWidth="1"/>
    <col min="15" max="16384" width="9.140625" style="2"/>
  </cols>
  <sheetData>
    <row r="1" spans="1:17" ht="24.95" customHeight="1" x14ac:dyDescent="0.25">
      <c r="A1" s="119" t="s">
        <v>13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7" ht="24.95" customHeight="1" x14ac:dyDescent="0.25">
      <c r="A2" s="119" t="s">
        <v>62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</row>
    <row r="3" spans="1:17" ht="35.25" customHeight="1" x14ac:dyDescent="0.25">
      <c r="A3" s="119" t="s">
        <v>63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</row>
    <row r="4" spans="1:17" x14ac:dyDescent="0.25">
      <c r="A4" s="1"/>
      <c r="B4" s="25"/>
      <c r="C4" s="43"/>
      <c r="D4" s="1"/>
      <c r="E4" s="6"/>
      <c r="F4" s="6"/>
      <c r="G4" s="6"/>
      <c r="H4" s="6"/>
      <c r="I4" s="6"/>
      <c r="J4" s="6"/>
      <c r="K4" s="6"/>
    </row>
    <row r="5" spans="1:17" ht="20.100000000000001" customHeight="1" x14ac:dyDescent="0.25">
      <c r="B5" s="2"/>
      <c r="C5" s="2"/>
      <c r="D5"/>
      <c r="E5" s="133" t="s">
        <v>3</v>
      </c>
      <c r="F5" s="134"/>
      <c r="G5" s="135"/>
      <c r="H5" s="133" t="s">
        <v>4</v>
      </c>
      <c r="I5" s="134"/>
      <c r="J5" s="135"/>
      <c r="K5" s="104" t="s">
        <v>0</v>
      </c>
      <c r="L5" s="111" t="s">
        <v>349</v>
      </c>
    </row>
    <row r="6" spans="1:17" ht="20.100000000000001" customHeight="1" x14ac:dyDescent="0.25">
      <c r="A6" s="132" t="s">
        <v>1</v>
      </c>
      <c r="B6" s="131" t="s">
        <v>2</v>
      </c>
      <c r="C6" s="131" t="s">
        <v>16</v>
      </c>
      <c r="D6" t="s">
        <v>350</v>
      </c>
      <c r="E6" s="30" t="s">
        <v>5</v>
      </c>
      <c r="F6" s="31" t="s">
        <v>6</v>
      </c>
      <c r="G6" s="31" t="s">
        <v>7</v>
      </c>
      <c r="H6" s="30" t="s">
        <v>8</v>
      </c>
      <c r="I6" s="31" t="s">
        <v>9</v>
      </c>
      <c r="J6" s="31" t="s">
        <v>10</v>
      </c>
      <c r="K6" s="104" t="s">
        <v>0</v>
      </c>
      <c r="L6" s="112"/>
    </row>
    <row r="7" spans="1:17" ht="39.950000000000003" customHeight="1" x14ac:dyDescent="0.25">
      <c r="A7" s="10">
        <v>1</v>
      </c>
      <c r="B7" s="42" t="s">
        <v>181</v>
      </c>
      <c r="C7" s="44" t="s">
        <v>182</v>
      </c>
      <c r="D7" s="9" t="s">
        <v>180</v>
      </c>
      <c r="E7" s="13">
        <v>15</v>
      </c>
      <c r="F7" s="13">
        <v>13</v>
      </c>
      <c r="G7" s="11">
        <v>17</v>
      </c>
      <c r="H7" s="24">
        <v>41</v>
      </c>
      <c r="I7" s="24">
        <v>37</v>
      </c>
      <c r="J7" s="24">
        <v>37</v>
      </c>
      <c r="K7" s="12">
        <f>SUM(H7:J7)*10/3</f>
        <v>383.33333333333331</v>
      </c>
      <c r="L7" s="105" t="str">
        <f>VLOOKUP(K7,$O$10:$P$13,2,1)</f>
        <v>D</v>
      </c>
    </row>
    <row r="8" spans="1:17" ht="39.950000000000003" customHeight="1" x14ac:dyDescent="0.25">
      <c r="A8" s="10">
        <v>2</v>
      </c>
      <c r="B8" s="42" t="s">
        <v>183</v>
      </c>
      <c r="C8" s="44" t="s">
        <v>184</v>
      </c>
      <c r="D8" s="9" t="s">
        <v>180</v>
      </c>
      <c r="E8" s="11">
        <v>12</v>
      </c>
      <c r="F8" s="11">
        <v>9</v>
      </c>
      <c r="G8" s="11">
        <v>17</v>
      </c>
      <c r="H8" s="24">
        <v>37</v>
      </c>
      <c r="I8" s="24">
        <v>31</v>
      </c>
      <c r="J8" s="24">
        <v>37</v>
      </c>
      <c r="K8" s="12">
        <f t="shared" ref="K8:K31" si="0">SUM(H8:J8)*10/3</f>
        <v>350</v>
      </c>
      <c r="L8" s="105" t="str">
        <f t="shared" ref="L8:L31" si="1">VLOOKUP(K8,$O$10:$P$13,2,1)</f>
        <v>D</v>
      </c>
    </row>
    <row r="9" spans="1:17" ht="39.950000000000003" customHeight="1" x14ac:dyDescent="0.25">
      <c r="A9" s="54">
        <v>3</v>
      </c>
      <c r="B9" s="67" t="s">
        <v>185</v>
      </c>
      <c r="C9" s="68" t="s">
        <v>186</v>
      </c>
      <c r="D9" s="57" t="s">
        <v>180</v>
      </c>
      <c r="E9" s="116" t="s">
        <v>335</v>
      </c>
      <c r="F9" s="117"/>
      <c r="G9" s="117"/>
      <c r="H9" s="117"/>
      <c r="I9" s="117"/>
      <c r="J9" s="118"/>
      <c r="K9" s="58">
        <f t="shared" si="0"/>
        <v>0</v>
      </c>
      <c r="L9" s="105" t="str">
        <f t="shared" si="1"/>
        <v>D</v>
      </c>
      <c r="N9" s="105" t="s">
        <v>336</v>
      </c>
      <c r="O9" s="105" t="s">
        <v>337</v>
      </c>
      <c r="P9" s="105" t="s">
        <v>338</v>
      </c>
      <c r="Q9" s="105" t="s">
        <v>339</v>
      </c>
    </row>
    <row r="10" spans="1:17" ht="39.950000000000003" customHeight="1" x14ac:dyDescent="0.25">
      <c r="A10" s="10">
        <v>4</v>
      </c>
      <c r="B10" s="42" t="s">
        <v>187</v>
      </c>
      <c r="C10" s="44" t="s">
        <v>188</v>
      </c>
      <c r="D10" s="9" t="s">
        <v>180</v>
      </c>
      <c r="E10" s="11">
        <v>11</v>
      </c>
      <c r="F10" s="11">
        <v>7</v>
      </c>
      <c r="G10" s="11">
        <v>26</v>
      </c>
      <c r="H10" s="24">
        <v>35</v>
      </c>
      <c r="I10" s="24">
        <v>27</v>
      </c>
      <c r="J10" s="24">
        <v>45</v>
      </c>
      <c r="K10" s="12">
        <f t="shared" si="0"/>
        <v>356.66666666666669</v>
      </c>
      <c r="L10" s="105" t="str">
        <f t="shared" si="1"/>
        <v>D</v>
      </c>
      <c r="N10" s="106" t="s">
        <v>340</v>
      </c>
      <c r="O10" s="105">
        <v>0</v>
      </c>
      <c r="P10" s="105" t="s">
        <v>341</v>
      </c>
      <c r="Q10" s="105">
        <f>COUNTIF($L$7:$L$35,"D")</f>
        <v>24</v>
      </c>
    </row>
    <row r="11" spans="1:17" ht="39.950000000000003" customHeight="1" x14ac:dyDescent="0.25">
      <c r="A11" s="10">
        <v>5</v>
      </c>
      <c r="B11" s="42" t="s">
        <v>189</v>
      </c>
      <c r="C11" s="44" t="s">
        <v>190</v>
      </c>
      <c r="D11" s="9" t="s">
        <v>180</v>
      </c>
      <c r="E11" s="11">
        <v>8</v>
      </c>
      <c r="F11" s="11">
        <v>8</v>
      </c>
      <c r="G11" s="11">
        <v>30</v>
      </c>
      <c r="H11" s="24">
        <v>32</v>
      </c>
      <c r="I11" s="24">
        <v>29</v>
      </c>
      <c r="J11" s="24">
        <v>48</v>
      </c>
      <c r="K11" s="12">
        <f t="shared" si="0"/>
        <v>363.33333333333331</v>
      </c>
      <c r="L11" s="105" t="str">
        <f t="shared" si="1"/>
        <v>D</v>
      </c>
      <c r="N11" s="106" t="s">
        <v>342</v>
      </c>
      <c r="O11" s="105">
        <v>400</v>
      </c>
      <c r="P11" s="105" t="s">
        <v>343</v>
      </c>
      <c r="Q11" s="105">
        <f>COUNTIF($L$7:$L$35,"C")</f>
        <v>1</v>
      </c>
    </row>
    <row r="12" spans="1:17" ht="39.950000000000003" customHeight="1" x14ac:dyDescent="0.25">
      <c r="A12" s="10">
        <v>6</v>
      </c>
      <c r="B12" s="42" t="s">
        <v>191</v>
      </c>
      <c r="C12" s="44" t="s">
        <v>192</v>
      </c>
      <c r="D12" s="9" t="s">
        <v>180</v>
      </c>
      <c r="E12" s="11">
        <v>11</v>
      </c>
      <c r="F12" s="11">
        <v>11</v>
      </c>
      <c r="G12" s="11">
        <v>14</v>
      </c>
      <c r="H12" s="24">
        <v>35</v>
      </c>
      <c r="I12" s="24">
        <v>35</v>
      </c>
      <c r="J12" s="24">
        <v>34</v>
      </c>
      <c r="K12" s="12">
        <f t="shared" si="0"/>
        <v>346.66666666666669</v>
      </c>
      <c r="L12" s="105" t="str">
        <f t="shared" si="1"/>
        <v>D</v>
      </c>
      <c r="N12" s="106" t="s">
        <v>344</v>
      </c>
      <c r="O12" s="105">
        <v>450</v>
      </c>
      <c r="P12" s="105" t="s">
        <v>345</v>
      </c>
      <c r="Q12" s="105">
        <f>COUNTIF($L$7:$L$35,"B")</f>
        <v>0</v>
      </c>
    </row>
    <row r="13" spans="1:17" ht="39.950000000000003" customHeight="1" x14ac:dyDescent="0.25">
      <c r="A13" s="54">
        <v>7</v>
      </c>
      <c r="B13" s="67" t="s">
        <v>193</v>
      </c>
      <c r="C13" s="68" t="s">
        <v>194</v>
      </c>
      <c r="D13" s="57" t="s">
        <v>180</v>
      </c>
      <c r="E13" s="116" t="s">
        <v>335</v>
      </c>
      <c r="F13" s="117"/>
      <c r="G13" s="117"/>
      <c r="H13" s="117"/>
      <c r="I13" s="117"/>
      <c r="J13" s="118"/>
      <c r="K13" s="58">
        <f t="shared" si="0"/>
        <v>0</v>
      </c>
      <c r="L13" s="105" t="str">
        <f t="shared" si="1"/>
        <v>D</v>
      </c>
      <c r="N13" s="106" t="s">
        <v>346</v>
      </c>
      <c r="O13" s="105">
        <v>500</v>
      </c>
      <c r="P13" s="105" t="s">
        <v>347</v>
      </c>
      <c r="Q13" s="105">
        <f>COUNTIF($L$7:$L$35,"A")</f>
        <v>0</v>
      </c>
    </row>
    <row r="14" spans="1:17" ht="39.950000000000003" customHeight="1" x14ac:dyDescent="0.25">
      <c r="A14" s="10">
        <v>8</v>
      </c>
      <c r="B14" s="42" t="s">
        <v>195</v>
      </c>
      <c r="C14" s="44" t="s">
        <v>196</v>
      </c>
      <c r="D14" s="9" t="s">
        <v>180</v>
      </c>
      <c r="E14" s="11">
        <v>16</v>
      </c>
      <c r="F14" s="11">
        <v>9</v>
      </c>
      <c r="G14" s="11">
        <v>12</v>
      </c>
      <c r="H14" s="24">
        <v>41</v>
      </c>
      <c r="I14" s="24">
        <v>31</v>
      </c>
      <c r="J14" s="24">
        <v>31</v>
      </c>
      <c r="K14" s="12">
        <f t="shared" si="0"/>
        <v>343.33333333333331</v>
      </c>
      <c r="L14" s="105" t="str">
        <f t="shared" si="1"/>
        <v>D</v>
      </c>
      <c r="N14" s="108" t="s">
        <v>348</v>
      </c>
      <c r="O14" s="109"/>
      <c r="P14" s="110"/>
      <c r="Q14" s="107">
        <f>SUM(Q10:Q13)</f>
        <v>25</v>
      </c>
    </row>
    <row r="15" spans="1:17" ht="39.950000000000003" customHeight="1" x14ac:dyDescent="0.25">
      <c r="A15" s="10">
        <v>9</v>
      </c>
      <c r="B15" s="42" t="s">
        <v>197</v>
      </c>
      <c r="C15" s="44" t="s">
        <v>198</v>
      </c>
      <c r="D15" s="9" t="s">
        <v>180</v>
      </c>
      <c r="E15" s="11">
        <v>11</v>
      </c>
      <c r="F15" s="11">
        <v>12</v>
      </c>
      <c r="G15" s="11">
        <v>13</v>
      </c>
      <c r="H15" s="24">
        <v>35</v>
      </c>
      <c r="I15" s="24">
        <v>36</v>
      </c>
      <c r="J15" s="24">
        <v>32</v>
      </c>
      <c r="K15" s="12">
        <f t="shared" si="0"/>
        <v>343.33333333333331</v>
      </c>
      <c r="L15" s="105" t="str">
        <f t="shared" si="1"/>
        <v>D</v>
      </c>
    </row>
    <row r="16" spans="1:17" ht="39.950000000000003" customHeight="1" x14ac:dyDescent="0.25">
      <c r="A16" s="10">
        <v>10</v>
      </c>
      <c r="B16" s="42" t="s">
        <v>199</v>
      </c>
      <c r="C16" s="44" t="s">
        <v>200</v>
      </c>
      <c r="D16" s="9" t="s">
        <v>180</v>
      </c>
      <c r="E16" s="11">
        <v>21</v>
      </c>
      <c r="F16" s="11">
        <v>10</v>
      </c>
      <c r="G16" s="11">
        <v>10</v>
      </c>
      <c r="H16" s="24">
        <v>45</v>
      </c>
      <c r="I16" s="24">
        <v>33</v>
      </c>
      <c r="J16" s="24">
        <v>29</v>
      </c>
      <c r="K16" s="12">
        <f t="shared" si="0"/>
        <v>356.66666666666669</v>
      </c>
      <c r="L16" s="105" t="str">
        <f t="shared" si="1"/>
        <v>D</v>
      </c>
    </row>
    <row r="17" spans="1:12" ht="39.950000000000003" customHeight="1" x14ac:dyDescent="0.25">
      <c r="A17" s="10">
        <v>11</v>
      </c>
      <c r="B17" s="42" t="s">
        <v>201</v>
      </c>
      <c r="C17" s="44" t="s">
        <v>202</v>
      </c>
      <c r="D17" s="9" t="s">
        <v>180</v>
      </c>
      <c r="E17" s="11">
        <v>8</v>
      </c>
      <c r="F17" s="11">
        <v>8</v>
      </c>
      <c r="G17" s="11">
        <v>14</v>
      </c>
      <c r="H17" s="24">
        <v>32</v>
      </c>
      <c r="I17" s="24">
        <v>29</v>
      </c>
      <c r="J17" s="24">
        <v>34</v>
      </c>
      <c r="K17" s="12">
        <f t="shared" si="0"/>
        <v>316.66666666666669</v>
      </c>
      <c r="L17" s="105" t="str">
        <f t="shared" si="1"/>
        <v>D</v>
      </c>
    </row>
    <row r="18" spans="1:12" ht="39.950000000000003" customHeight="1" x14ac:dyDescent="0.25">
      <c r="A18" s="54">
        <v>12</v>
      </c>
      <c r="B18" s="67" t="s">
        <v>203</v>
      </c>
      <c r="C18" s="68" t="s">
        <v>204</v>
      </c>
      <c r="D18" s="57" t="s">
        <v>180</v>
      </c>
      <c r="E18" s="116" t="s">
        <v>335</v>
      </c>
      <c r="F18" s="117"/>
      <c r="G18" s="117"/>
      <c r="H18" s="117"/>
      <c r="I18" s="117"/>
      <c r="J18" s="118"/>
      <c r="K18" s="58">
        <f t="shared" si="0"/>
        <v>0</v>
      </c>
      <c r="L18" s="105" t="str">
        <f t="shared" si="1"/>
        <v>D</v>
      </c>
    </row>
    <row r="19" spans="1:12" ht="39.950000000000003" customHeight="1" x14ac:dyDescent="0.25">
      <c r="A19" s="10">
        <v>13</v>
      </c>
      <c r="B19" s="42" t="s">
        <v>205</v>
      </c>
      <c r="C19" s="44" t="s">
        <v>206</v>
      </c>
      <c r="D19" s="9" t="s">
        <v>180</v>
      </c>
      <c r="E19" s="11">
        <v>13</v>
      </c>
      <c r="F19" s="11">
        <v>9</v>
      </c>
      <c r="G19" s="11">
        <v>20</v>
      </c>
      <c r="H19" s="24">
        <v>38</v>
      </c>
      <c r="I19" s="24">
        <v>31</v>
      </c>
      <c r="J19" s="24">
        <v>40</v>
      </c>
      <c r="K19" s="12">
        <f t="shared" si="0"/>
        <v>363.33333333333331</v>
      </c>
      <c r="L19" s="105" t="str">
        <f t="shared" si="1"/>
        <v>D</v>
      </c>
    </row>
    <row r="20" spans="1:12" ht="39.950000000000003" customHeight="1" x14ac:dyDescent="0.25">
      <c r="A20" s="54">
        <v>14</v>
      </c>
      <c r="B20" s="67" t="s">
        <v>207</v>
      </c>
      <c r="C20" s="68" t="s">
        <v>208</v>
      </c>
      <c r="D20" s="57" t="s">
        <v>180</v>
      </c>
      <c r="E20" s="116" t="s">
        <v>335</v>
      </c>
      <c r="F20" s="117"/>
      <c r="G20" s="117"/>
      <c r="H20" s="117"/>
      <c r="I20" s="117"/>
      <c r="J20" s="118"/>
      <c r="K20" s="58">
        <f t="shared" si="0"/>
        <v>0</v>
      </c>
      <c r="L20" s="105" t="str">
        <f t="shared" si="1"/>
        <v>D</v>
      </c>
    </row>
    <row r="21" spans="1:12" ht="39.950000000000003" customHeight="1" x14ac:dyDescent="0.25">
      <c r="A21" s="10">
        <v>15</v>
      </c>
      <c r="B21" s="42" t="s">
        <v>209</v>
      </c>
      <c r="C21" s="44" t="s">
        <v>210</v>
      </c>
      <c r="D21" s="9" t="s">
        <v>180</v>
      </c>
      <c r="E21" s="11">
        <v>11</v>
      </c>
      <c r="F21" s="11">
        <v>9</v>
      </c>
      <c r="G21" s="11">
        <v>15</v>
      </c>
      <c r="H21" s="24">
        <v>35</v>
      </c>
      <c r="I21" s="24">
        <v>31</v>
      </c>
      <c r="J21" s="24">
        <v>35</v>
      </c>
      <c r="K21" s="12">
        <f t="shared" si="0"/>
        <v>336.66666666666669</v>
      </c>
      <c r="L21" s="105" t="str">
        <f t="shared" si="1"/>
        <v>D</v>
      </c>
    </row>
    <row r="22" spans="1:12" ht="39.950000000000003" customHeight="1" x14ac:dyDescent="0.25">
      <c r="A22" s="10">
        <v>16</v>
      </c>
      <c r="B22" s="42" t="s">
        <v>211</v>
      </c>
      <c r="C22" s="44" t="s">
        <v>212</v>
      </c>
      <c r="D22" s="9" t="s">
        <v>180</v>
      </c>
      <c r="E22" s="11">
        <v>14</v>
      </c>
      <c r="F22" s="11">
        <v>14</v>
      </c>
      <c r="G22" s="11">
        <v>13</v>
      </c>
      <c r="H22" s="24">
        <v>39</v>
      </c>
      <c r="I22" s="24">
        <v>38</v>
      </c>
      <c r="J22" s="24">
        <v>32</v>
      </c>
      <c r="K22" s="12">
        <f t="shared" si="0"/>
        <v>363.33333333333331</v>
      </c>
      <c r="L22" s="105" t="str">
        <f t="shared" si="1"/>
        <v>D</v>
      </c>
    </row>
    <row r="23" spans="1:12" ht="39.950000000000003" customHeight="1" x14ac:dyDescent="0.25">
      <c r="A23" s="54">
        <v>17</v>
      </c>
      <c r="B23" s="67" t="s">
        <v>213</v>
      </c>
      <c r="C23" s="68" t="s">
        <v>214</v>
      </c>
      <c r="D23" s="57" t="s">
        <v>180</v>
      </c>
      <c r="E23" s="116" t="s">
        <v>335</v>
      </c>
      <c r="F23" s="117"/>
      <c r="G23" s="117"/>
      <c r="H23" s="117"/>
      <c r="I23" s="117"/>
      <c r="J23" s="118"/>
      <c r="K23" s="58">
        <f t="shared" si="0"/>
        <v>0</v>
      </c>
      <c r="L23" s="105" t="str">
        <f t="shared" si="1"/>
        <v>D</v>
      </c>
    </row>
    <row r="24" spans="1:12" ht="39.950000000000003" customHeight="1" x14ac:dyDescent="0.25">
      <c r="A24" s="10">
        <v>18</v>
      </c>
      <c r="B24" s="42" t="s">
        <v>215</v>
      </c>
      <c r="C24" s="44" t="s">
        <v>216</v>
      </c>
      <c r="D24" s="9" t="s">
        <v>180</v>
      </c>
      <c r="E24" s="11">
        <v>9</v>
      </c>
      <c r="F24" s="11">
        <v>9</v>
      </c>
      <c r="G24" s="11">
        <v>19</v>
      </c>
      <c r="H24" s="24">
        <v>32</v>
      </c>
      <c r="I24" s="24">
        <v>31</v>
      </c>
      <c r="J24" s="24">
        <v>39</v>
      </c>
      <c r="K24" s="12">
        <f t="shared" si="0"/>
        <v>340</v>
      </c>
      <c r="L24" s="105" t="str">
        <f t="shared" si="1"/>
        <v>D</v>
      </c>
    </row>
    <row r="25" spans="1:12" ht="39.950000000000003" customHeight="1" x14ac:dyDescent="0.25">
      <c r="A25" s="54">
        <v>19</v>
      </c>
      <c r="B25" s="67" t="s">
        <v>217</v>
      </c>
      <c r="C25" s="68" t="s">
        <v>218</v>
      </c>
      <c r="D25" s="57" t="s">
        <v>180</v>
      </c>
      <c r="E25" s="116" t="s">
        <v>335</v>
      </c>
      <c r="F25" s="117"/>
      <c r="G25" s="117"/>
      <c r="H25" s="117"/>
      <c r="I25" s="117"/>
      <c r="J25" s="118"/>
      <c r="K25" s="58">
        <f t="shared" si="0"/>
        <v>0</v>
      </c>
      <c r="L25" s="105" t="str">
        <f t="shared" si="1"/>
        <v>D</v>
      </c>
    </row>
    <row r="26" spans="1:12" ht="39.950000000000003" customHeight="1" x14ac:dyDescent="0.25">
      <c r="A26" s="10">
        <v>20</v>
      </c>
      <c r="B26" s="42" t="s">
        <v>219</v>
      </c>
      <c r="C26" s="44" t="s">
        <v>220</v>
      </c>
      <c r="D26" s="9" t="s">
        <v>180</v>
      </c>
      <c r="E26" s="11">
        <v>15</v>
      </c>
      <c r="F26" s="11">
        <v>16</v>
      </c>
      <c r="G26" s="11">
        <v>16</v>
      </c>
      <c r="H26" s="24">
        <v>41</v>
      </c>
      <c r="I26" s="24">
        <v>40</v>
      </c>
      <c r="J26" s="24">
        <v>36</v>
      </c>
      <c r="K26" s="12">
        <f t="shared" si="0"/>
        <v>390</v>
      </c>
      <c r="L26" s="105" t="str">
        <f t="shared" si="1"/>
        <v>D</v>
      </c>
    </row>
    <row r="27" spans="1:12" s="19" customFormat="1" ht="39.950000000000003" customHeight="1" x14ac:dyDescent="0.25">
      <c r="A27" s="10">
        <v>21</v>
      </c>
      <c r="B27" s="102" t="s">
        <v>221</v>
      </c>
      <c r="C27" s="103" t="s">
        <v>222</v>
      </c>
      <c r="D27" s="9" t="s">
        <v>180</v>
      </c>
      <c r="E27" s="11">
        <v>20</v>
      </c>
      <c r="F27" s="11">
        <v>18</v>
      </c>
      <c r="G27" s="11">
        <v>28</v>
      </c>
      <c r="H27" s="11">
        <v>45</v>
      </c>
      <c r="I27" s="11">
        <v>42</v>
      </c>
      <c r="J27" s="11">
        <v>46</v>
      </c>
      <c r="K27" s="12">
        <f t="shared" si="0"/>
        <v>443.33333333333331</v>
      </c>
      <c r="L27" s="105" t="str">
        <f t="shared" si="1"/>
        <v>C</v>
      </c>
    </row>
    <row r="28" spans="1:12" ht="39.950000000000003" customHeight="1" x14ac:dyDescent="0.25">
      <c r="A28" s="54">
        <v>22</v>
      </c>
      <c r="B28" s="67" t="s">
        <v>223</v>
      </c>
      <c r="C28" s="68" t="s">
        <v>224</v>
      </c>
      <c r="D28" s="57" t="s">
        <v>180</v>
      </c>
      <c r="E28" s="77"/>
      <c r="F28" s="78"/>
      <c r="G28" s="78"/>
      <c r="H28" s="78"/>
      <c r="I28" s="78"/>
      <c r="J28" s="79"/>
      <c r="K28" s="58">
        <f t="shared" si="0"/>
        <v>0</v>
      </c>
      <c r="L28" s="105" t="str">
        <f t="shared" si="1"/>
        <v>D</v>
      </c>
    </row>
    <row r="29" spans="1:12" ht="39.950000000000003" customHeight="1" x14ac:dyDescent="0.25">
      <c r="A29" s="10">
        <v>23</v>
      </c>
      <c r="B29" s="42" t="s">
        <v>225</v>
      </c>
      <c r="C29" s="44" t="s">
        <v>226</v>
      </c>
      <c r="D29" s="9" t="s">
        <v>180</v>
      </c>
      <c r="E29" s="11">
        <v>16</v>
      </c>
      <c r="F29" s="11">
        <v>17</v>
      </c>
      <c r="G29" s="11">
        <v>14</v>
      </c>
      <c r="H29" s="24">
        <v>41</v>
      </c>
      <c r="I29" s="24">
        <v>41</v>
      </c>
      <c r="J29" s="24">
        <v>34</v>
      </c>
      <c r="K29" s="12">
        <f t="shared" si="0"/>
        <v>386.66666666666669</v>
      </c>
      <c r="L29" s="105" t="str">
        <f t="shared" si="1"/>
        <v>D</v>
      </c>
    </row>
    <row r="30" spans="1:12" ht="39.950000000000003" customHeight="1" x14ac:dyDescent="0.25">
      <c r="A30" s="10">
        <v>24</v>
      </c>
      <c r="B30" s="42" t="s">
        <v>227</v>
      </c>
      <c r="C30" s="44" t="s">
        <v>228</v>
      </c>
      <c r="D30" s="9" t="s">
        <v>180</v>
      </c>
      <c r="E30" s="11">
        <v>13</v>
      </c>
      <c r="F30" s="11">
        <v>12</v>
      </c>
      <c r="G30" s="11">
        <v>11</v>
      </c>
      <c r="H30" s="24">
        <v>38</v>
      </c>
      <c r="I30" s="24">
        <v>36</v>
      </c>
      <c r="J30" s="24">
        <v>30</v>
      </c>
      <c r="K30" s="12">
        <f t="shared" si="0"/>
        <v>346.66666666666669</v>
      </c>
      <c r="L30" s="105" t="str">
        <f t="shared" si="1"/>
        <v>D</v>
      </c>
    </row>
    <row r="31" spans="1:12" ht="39.950000000000003" customHeight="1" x14ac:dyDescent="0.25">
      <c r="A31" s="54">
        <v>25</v>
      </c>
      <c r="B31" s="67" t="s">
        <v>229</v>
      </c>
      <c r="C31" s="68" t="s">
        <v>230</v>
      </c>
      <c r="D31" s="57" t="s">
        <v>180</v>
      </c>
      <c r="E31" s="116" t="s">
        <v>335</v>
      </c>
      <c r="F31" s="117"/>
      <c r="G31" s="117"/>
      <c r="H31" s="117"/>
      <c r="I31" s="117"/>
      <c r="J31" s="118"/>
      <c r="K31" s="58">
        <f t="shared" si="0"/>
        <v>0</v>
      </c>
      <c r="L31" s="105" t="str">
        <f t="shared" si="1"/>
        <v>D</v>
      </c>
    </row>
    <row r="32" spans="1:12" ht="54.95" customHeight="1" x14ac:dyDescent="0.3">
      <c r="A32" s="14"/>
      <c r="B32" s="26"/>
      <c r="C32" s="45"/>
      <c r="D32" s="14"/>
      <c r="E32" s="16"/>
      <c r="F32" s="114"/>
      <c r="G32" s="114"/>
      <c r="H32" s="120" t="s">
        <v>14</v>
      </c>
      <c r="I32" s="120"/>
      <c r="J32" s="120"/>
      <c r="K32" s="120"/>
    </row>
    <row r="33" spans="1:11" ht="84.95" customHeight="1" x14ac:dyDescent="0.3">
      <c r="A33" s="14"/>
      <c r="B33" s="26"/>
      <c r="C33" s="45"/>
      <c r="D33" s="14"/>
      <c r="E33" s="16"/>
      <c r="F33" s="17"/>
      <c r="G33" s="16"/>
      <c r="H33" s="121" t="s">
        <v>11</v>
      </c>
      <c r="I33" s="121"/>
      <c r="J33" s="121"/>
      <c r="K33" s="121"/>
    </row>
    <row r="34" spans="1:11" ht="24.75" customHeight="1" x14ac:dyDescent="0.25">
      <c r="A34" s="14"/>
      <c r="B34" s="26"/>
      <c r="C34" s="45"/>
      <c r="D34" s="14"/>
      <c r="E34" s="16"/>
      <c r="F34" s="17"/>
      <c r="G34" s="17"/>
      <c r="H34" s="113" t="s">
        <v>12</v>
      </c>
      <c r="I34" s="113"/>
      <c r="J34" s="113"/>
      <c r="K34" s="113"/>
    </row>
    <row r="35" spans="1:11" ht="24.95" customHeight="1" x14ac:dyDescent="0.25">
      <c r="A35" s="14"/>
      <c r="B35" s="26"/>
      <c r="C35" s="45"/>
      <c r="D35" s="14"/>
      <c r="E35" s="16"/>
      <c r="F35" s="16"/>
      <c r="G35" s="16"/>
      <c r="H35" s="16"/>
      <c r="I35" s="16"/>
      <c r="J35" s="16"/>
      <c r="K35" s="18"/>
    </row>
    <row r="36" spans="1:11" ht="24.95" customHeight="1" x14ac:dyDescent="0.25">
      <c r="A36" s="19"/>
      <c r="B36" s="27"/>
      <c r="C36" s="46"/>
      <c r="D36" s="19"/>
      <c r="E36" s="18"/>
      <c r="F36" s="18"/>
      <c r="G36" s="18"/>
      <c r="H36" s="18"/>
      <c r="I36" s="18"/>
      <c r="J36" s="18"/>
      <c r="K36" s="18"/>
    </row>
    <row r="37" spans="1:11" ht="24.75" customHeight="1" x14ac:dyDescent="0.25">
      <c r="A37" s="19"/>
      <c r="B37" s="27"/>
      <c r="C37" s="46"/>
      <c r="D37" s="19"/>
      <c r="E37" s="18"/>
      <c r="F37" s="18"/>
      <c r="G37" s="18"/>
      <c r="H37" s="18"/>
      <c r="I37" s="18"/>
      <c r="J37" s="18"/>
      <c r="K37" s="18"/>
    </row>
    <row r="38" spans="1:11" ht="24.95" customHeight="1" x14ac:dyDescent="0.25">
      <c r="A38" s="19"/>
      <c r="B38" s="27"/>
      <c r="C38" s="46"/>
      <c r="D38" s="19"/>
      <c r="E38" s="18"/>
      <c r="F38" s="18"/>
      <c r="G38" s="18"/>
      <c r="H38" s="18"/>
      <c r="I38" s="18"/>
      <c r="J38" s="18"/>
      <c r="K38" s="18"/>
    </row>
    <row r="39" spans="1:11" ht="24" customHeight="1" x14ac:dyDescent="0.25">
      <c r="A39" s="19"/>
      <c r="B39" s="27"/>
      <c r="C39" s="46"/>
      <c r="D39" s="19"/>
      <c r="E39" s="18"/>
      <c r="F39" s="18"/>
      <c r="G39" s="18"/>
      <c r="H39" s="18"/>
      <c r="I39" s="18"/>
      <c r="J39" s="18"/>
      <c r="K39" s="18"/>
    </row>
    <row r="40" spans="1:11" ht="24" customHeight="1" x14ac:dyDescent="0.25">
      <c r="A40" s="19"/>
      <c r="B40" s="27"/>
      <c r="C40" s="46"/>
      <c r="D40" s="19"/>
      <c r="E40" s="18"/>
      <c r="F40" s="18"/>
      <c r="G40" s="18"/>
      <c r="H40" s="18"/>
      <c r="I40" s="18"/>
      <c r="J40" s="18"/>
      <c r="K40" s="18"/>
    </row>
    <row r="41" spans="1:11" ht="18.75" customHeight="1" x14ac:dyDescent="0.25">
      <c r="A41" s="19"/>
      <c r="B41" s="27"/>
      <c r="C41" s="46"/>
      <c r="D41" s="19"/>
      <c r="E41" s="18"/>
      <c r="F41" s="18"/>
      <c r="G41" s="18"/>
      <c r="H41" s="18"/>
      <c r="I41" s="18"/>
      <c r="J41" s="18"/>
      <c r="K41" s="18"/>
    </row>
    <row r="42" spans="1:11" ht="22.5" customHeight="1" x14ac:dyDescent="0.25">
      <c r="A42" s="19"/>
      <c r="B42" s="27"/>
      <c r="C42" s="46"/>
      <c r="D42" s="19"/>
      <c r="E42" s="18"/>
      <c r="F42" s="18"/>
      <c r="G42" s="18"/>
      <c r="H42" s="18"/>
      <c r="I42" s="18"/>
      <c r="J42" s="18"/>
      <c r="K42" s="18"/>
    </row>
    <row r="43" spans="1:11" ht="24.75" customHeight="1" x14ac:dyDescent="0.25">
      <c r="A43" s="19"/>
      <c r="B43" s="27"/>
      <c r="C43" s="46"/>
      <c r="D43" s="19"/>
      <c r="E43" s="18"/>
      <c r="F43" s="18"/>
      <c r="G43" s="18"/>
      <c r="H43" s="18"/>
      <c r="I43" s="18"/>
      <c r="J43" s="18"/>
      <c r="K43" s="18"/>
    </row>
    <row r="44" spans="1:11" ht="23.25" customHeight="1" x14ac:dyDescent="0.25">
      <c r="A44" s="19"/>
      <c r="B44" s="27"/>
      <c r="C44" s="46"/>
      <c r="D44" s="19"/>
      <c r="E44" s="18"/>
      <c r="F44" s="18"/>
      <c r="G44" s="18"/>
      <c r="H44" s="18"/>
      <c r="I44" s="18"/>
      <c r="J44" s="18"/>
      <c r="K44" s="18"/>
    </row>
    <row r="45" spans="1:11" ht="23.25" customHeight="1" x14ac:dyDescent="0.25">
      <c r="E45" s="2"/>
      <c r="F45" s="2"/>
      <c r="G45" s="2"/>
      <c r="H45" s="2"/>
      <c r="I45" s="2"/>
      <c r="J45" s="2"/>
      <c r="K45" s="2"/>
    </row>
    <row r="46" spans="1:11" ht="23.25" customHeight="1" x14ac:dyDescent="0.25">
      <c r="E46" s="2"/>
      <c r="F46" s="2"/>
      <c r="G46" s="2"/>
      <c r="H46" s="2"/>
      <c r="I46" s="2"/>
      <c r="J46" s="2"/>
      <c r="K46" s="2"/>
    </row>
    <row r="47" spans="1:11" ht="23.25" customHeight="1" x14ac:dyDescent="0.25">
      <c r="E47" s="2"/>
      <c r="F47" s="2"/>
      <c r="G47" s="2"/>
      <c r="H47" s="2"/>
      <c r="I47" s="2"/>
      <c r="J47" s="2"/>
      <c r="K47" s="2"/>
    </row>
    <row r="48" spans="1:11" ht="84" customHeight="1" x14ac:dyDescent="0.25">
      <c r="E48" s="2"/>
      <c r="F48" s="2"/>
      <c r="G48" s="2"/>
      <c r="H48" s="2"/>
      <c r="I48" s="2"/>
      <c r="J48" s="2"/>
      <c r="K48" s="2"/>
    </row>
    <row r="49" spans="5:11" x14ac:dyDescent="0.25">
      <c r="E49" s="2"/>
      <c r="F49" s="2"/>
      <c r="G49" s="2"/>
      <c r="H49" s="2"/>
      <c r="I49" s="2"/>
      <c r="J49" s="2"/>
      <c r="K49" s="2"/>
    </row>
    <row r="50" spans="5:11" x14ac:dyDescent="0.25">
      <c r="E50" s="2"/>
      <c r="F50" s="2"/>
      <c r="G50" s="2"/>
      <c r="H50" s="2"/>
      <c r="I50" s="2"/>
      <c r="J50" s="2"/>
      <c r="K50" s="2"/>
    </row>
    <row r="51" spans="5:11" x14ac:dyDescent="0.25">
      <c r="E51" s="2"/>
      <c r="F51" s="2"/>
      <c r="G51" s="2"/>
      <c r="H51" s="2"/>
      <c r="I51" s="2"/>
      <c r="J51" s="2"/>
      <c r="K51" s="2"/>
    </row>
    <row r="52" spans="5:11" x14ac:dyDescent="0.25">
      <c r="E52" s="2"/>
      <c r="F52" s="2"/>
      <c r="G52" s="2"/>
      <c r="H52" s="2"/>
      <c r="I52" s="2"/>
      <c r="J52" s="2"/>
      <c r="K52" s="2"/>
    </row>
    <row r="53" spans="5:11" x14ac:dyDescent="0.25">
      <c r="E53" s="2"/>
      <c r="F53" s="2"/>
      <c r="G53" s="2"/>
      <c r="H53" s="2"/>
      <c r="I53" s="2"/>
      <c r="J53" s="2"/>
      <c r="K53" s="2"/>
    </row>
    <row r="54" spans="5:11" x14ac:dyDescent="0.25">
      <c r="E54" s="2"/>
      <c r="F54" s="2"/>
      <c r="G54" s="2"/>
      <c r="H54" s="2"/>
      <c r="I54" s="2"/>
      <c r="J54" s="2"/>
      <c r="K54" s="2"/>
    </row>
    <row r="55" spans="5:11" x14ac:dyDescent="0.25">
      <c r="E55" s="2"/>
      <c r="F55" s="2"/>
      <c r="G55" s="2"/>
      <c r="H55" s="2"/>
      <c r="I55" s="2"/>
      <c r="J55" s="2"/>
      <c r="K55" s="2"/>
    </row>
    <row r="56" spans="5:11" x14ac:dyDescent="0.25">
      <c r="E56" s="2"/>
      <c r="F56" s="2"/>
      <c r="G56" s="2"/>
      <c r="H56" s="2"/>
      <c r="I56" s="2"/>
      <c r="J56" s="2"/>
      <c r="K56" s="2"/>
    </row>
  </sheetData>
  <mergeCells count="18">
    <mergeCell ref="F32:G32"/>
    <mergeCell ref="H32:K32"/>
    <mergeCell ref="H33:K33"/>
    <mergeCell ref="H34:K34"/>
    <mergeCell ref="E9:J9"/>
    <mergeCell ref="E13:J13"/>
    <mergeCell ref="E18:J18"/>
    <mergeCell ref="E20:J20"/>
    <mergeCell ref="E23:J23"/>
    <mergeCell ref="E25:J25"/>
    <mergeCell ref="E31:J31"/>
    <mergeCell ref="N14:P14"/>
    <mergeCell ref="L5:L6"/>
    <mergeCell ref="A1:K1"/>
    <mergeCell ref="A2:K2"/>
    <mergeCell ref="A3:K3"/>
    <mergeCell ref="E5:G5"/>
    <mergeCell ref="H5:J5"/>
  </mergeCells>
  <conditionalFormatting sqref="B7:C27">
    <cfRule type="cellIs" dxfId="12" priority="3" stopIfTrue="1" operator="equal">
      <formula>"A"</formula>
    </cfRule>
    <cfRule type="cellIs" dxfId="11" priority="4" stopIfTrue="1" operator="equal">
      <formula>"I"</formula>
    </cfRule>
    <cfRule type="cellIs" dxfId="10" priority="5" stopIfTrue="1" operator="equal">
      <formula>"S"</formula>
    </cfRule>
  </conditionalFormatting>
  <conditionalFormatting sqref="B7:C27">
    <cfRule type="cellIs" dxfId="9" priority="1" stopIfTrue="1" operator="equal">
      <formula>"E"</formula>
    </cfRule>
    <cfRule type="cellIs" dxfId="8" priority="2" stopIfTrue="1" operator="equal">
      <formula>"D"</formula>
    </cfRule>
  </conditionalFormatting>
  <pageMargins left="0.7" right="0.7" top="0.75" bottom="0.75" header="0.3" footer="0.3"/>
  <pageSetup paperSize="9" scale="58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7"/>
  <sheetViews>
    <sheetView topLeftCell="A4" workbookViewId="0">
      <selection activeCell="A5" sqref="A5:L6"/>
    </sheetView>
  </sheetViews>
  <sheetFormatPr defaultRowHeight="15.75" x14ac:dyDescent="0.25"/>
  <cols>
    <col min="1" max="1" width="5.140625" style="2" bestFit="1" customWidth="1"/>
    <col min="2" max="2" width="40.85546875" style="2" bestFit="1" customWidth="1"/>
    <col min="3" max="3" width="20.7109375" style="5" bestFit="1" customWidth="1"/>
    <col min="4" max="4" width="39" style="2" bestFit="1" customWidth="1"/>
    <col min="5" max="7" width="8.7109375" style="5" customWidth="1"/>
    <col min="8" max="8" width="11.5703125" style="5" bestFit="1" customWidth="1"/>
    <col min="9" max="9" width="11.85546875" style="5" bestFit="1" customWidth="1"/>
    <col min="10" max="10" width="10.85546875" style="5" bestFit="1" customWidth="1"/>
    <col min="11" max="11" width="10.7109375" style="5" customWidth="1"/>
    <col min="12" max="13" width="9.140625" style="2"/>
    <col min="14" max="14" width="10" style="2" bestFit="1" customWidth="1"/>
    <col min="15" max="16384" width="9.140625" style="2"/>
  </cols>
  <sheetData>
    <row r="1" spans="1:17" ht="24.95" customHeight="1" x14ac:dyDescent="0.25">
      <c r="A1" s="119" t="s">
        <v>13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7" ht="24.95" customHeight="1" x14ac:dyDescent="0.25">
      <c r="A2" s="119" t="s">
        <v>62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</row>
    <row r="3" spans="1:17" ht="35.25" customHeight="1" x14ac:dyDescent="0.25">
      <c r="A3" s="119" t="s">
        <v>63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</row>
    <row r="4" spans="1:17" x14ac:dyDescent="0.25">
      <c r="A4" s="1"/>
      <c r="B4" s="8"/>
      <c r="C4" s="7"/>
      <c r="D4" s="1"/>
      <c r="E4" s="6"/>
      <c r="F4" s="6"/>
      <c r="G4" s="6"/>
      <c r="H4" s="6"/>
      <c r="I4" s="6"/>
      <c r="J4" s="6"/>
      <c r="K4" s="6"/>
    </row>
    <row r="5" spans="1:17" ht="20.100000000000001" customHeight="1" x14ac:dyDescent="0.25">
      <c r="C5" s="2"/>
      <c r="D5"/>
      <c r="E5" s="133" t="s">
        <v>3</v>
      </c>
      <c r="F5" s="134"/>
      <c r="G5" s="135"/>
      <c r="H5" s="133" t="s">
        <v>4</v>
      </c>
      <c r="I5" s="134"/>
      <c r="J5" s="135"/>
      <c r="K5" s="104" t="s">
        <v>0</v>
      </c>
      <c r="L5" s="111" t="s">
        <v>349</v>
      </c>
    </row>
    <row r="6" spans="1:17" ht="20.100000000000001" customHeight="1" x14ac:dyDescent="0.25">
      <c r="A6" s="132" t="s">
        <v>1</v>
      </c>
      <c r="B6" s="131" t="s">
        <v>2</v>
      </c>
      <c r="C6" s="131" t="s">
        <v>16</v>
      </c>
      <c r="D6" t="s">
        <v>350</v>
      </c>
      <c r="E6" s="30" t="s">
        <v>5</v>
      </c>
      <c r="F6" s="31" t="s">
        <v>6</v>
      </c>
      <c r="G6" s="31" t="s">
        <v>7</v>
      </c>
      <c r="H6" s="30" t="s">
        <v>8</v>
      </c>
      <c r="I6" s="31" t="s">
        <v>9</v>
      </c>
      <c r="J6" s="31" t="s">
        <v>10</v>
      </c>
      <c r="K6" s="104" t="s">
        <v>0</v>
      </c>
      <c r="L6" s="112"/>
    </row>
    <row r="7" spans="1:17" ht="39.950000000000003" customHeight="1" x14ac:dyDescent="0.25">
      <c r="A7" s="54">
        <v>1</v>
      </c>
      <c r="B7" s="69" t="s">
        <v>232</v>
      </c>
      <c r="C7" s="70" t="s">
        <v>233</v>
      </c>
      <c r="D7" s="57" t="s">
        <v>231</v>
      </c>
      <c r="E7" s="122" t="s">
        <v>335</v>
      </c>
      <c r="F7" s="123"/>
      <c r="G7" s="123"/>
      <c r="H7" s="123"/>
      <c r="I7" s="123"/>
      <c r="J7" s="124"/>
      <c r="K7" s="58">
        <f>SUM(H7:J7)*10/3</f>
        <v>0</v>
      </c>
      <c r="L7" s="105" t="str">
        <f>VLOOKUP(K7,$O$10:$P$13,2,1)</f>
        <v>D</v>
      </c>
    </row>
    <row r="8" spans="1:17" ht="39.950000000000003" customHeight="1" x14ac:dyDescent="0.25">
      <c r="A8" s="54">
        <v>2</v>
      </c>
      <c r="B8" s="69" t="s">
        <v>234</v>
      </c>
      <c r="C8" s="70" t="s">
        <v>235</v>
      </c>
      <c r="D8" s="57" t="s">
        <v>231</v>
      </c>
      <c r="E8" s="125"/>
      <c r="F8" s="126"/>
      <c r="G8" s="126"/>
      <c r="H8" s="126"/>
      <c r="I8" s="126"/>
      <c r="J8" s="127"/>
      <c r="K8" s="58">
        <f t="shared" ref="K8:K32" si="0">SUM(H8:J8)*10/3</f>
        <v>0</v>
      </c>
      <c r="L8" s="105" t="str">
        <f t="shared" ref="L8:L32" si="1">VLOOKUP(K8,$O$10:$P$13,2,1)</f>
        <v>D</v>
      </c>
    </row>
    <row r="9" spans="1:17" ht="39.950000000000003" customHeight="1" x14ac:dyDescent="0.25">
      <c r="A9" s="54">
        <v>3</v>
      </c>
      <c r="B9" s="69" t="s">
        <v>236</v>
      </c>
      <c r="C9" s="70" t="s">
        <v>237</v>
      </c>
      <c r="D9" s="57" t="s">
        <v>231</v>
      </c>
      <c r="E9" s="125"/>
      <c r="F9" s="126"/>
      <c r="G9" s="126"/>
      <c r="H9" s="126"/>
      <c r="I9" s="126"/>
      <c r="J9" s="127"/>
      <c r="K9" s="58">
        <f t="shared" si="0"/>
        <v>0</v>
      </c>
      <c r="L9" s="105" t="str">
        <f t="shared" si="1"/>
        <v>D</v>
      </c>
      <c r="N9" s="105" t="s">
        <v>336</v>
      </c>
      <c r="O9" s="105" t="s">
        <v>337</v>
      </c>
      <c r="P9" s="105" t="s">
        <v>338</v>
      </c>
      <c r="Q9" s="105" t="s">
        <v>339</v>
      </c>
    </row>
    <row r="10" spans="1:17" ht="39.950000000000003" customHeight="1" x14ac:dyDescent="0.25">
      <c r="A10" s="54">
        <v>4</v>
      </c>
      <c r="B10" s="69" t="s">
        <v>238</v>
      </c>
      <c r="C10" s="70" t="s">
        <v>239</v>
      </c>
      <c r="D10" s="57" t="s">
        <v>231</v>
      </c>
      <c r="E10" s="125"/>
      <c r="F10" s="126"/>
      <c r="G10" s="126"/>
      <c r="H10" s="126"/>
      <c r="I10" s="126"/>
      <c r="J10" s="127"/>
      <c r="K10" s="58">
        <f t="shared" si="0"/>
        <v>0</v>
      </c>
      <c r="L10" s="105" t="str">
        <f t="shared" si="1"/>
        <v>D</v>
      </c>
      <c r="N10" s="106" t="s">
        <v>340</v>
      </c>
      <c r="O10" s="105">
        <v>0</v>
      </c>
      <c r="P10" s="105" t="s">
        <v>341</v>
      </c>
      <c r="Q10" s="105">
        <f>COUNTIF($L$7:$L$35,"D")</f>
        <v>24</v>
      </c>
    </row>
    <row r="11" spans="1:17" ht="39.950000000000003" customHeight="1" x14ac:dyDescent="0.25">
      <c r="A11" s="54">
        <v>5</v>
      </c>
      <c r="B11" s="69" t="s">
        <v>240</v>
      </c>
      <c r="C11" s="70" t="s">
        <v>241</v>
      </c>
      <c r="D11" s="57" t="s">
        <v>231</v>
      </c>
      <c r="E11" s="125"/>
      <c r="F11" s="126"/>
      <c r="G11" s="126"/>
      <c r="H11" s="126"/>
      <c r="I11" s="126"/>
      <c r="J11" s="127"/>
      <c r="K11" s="58">
        <f t="shared" si="0"/>
        <v>0</v>
      </c>
      <c r="L11" s="105" t="str">
        <f t="shared" si="1"/>
        <v>D</v>
      </c>
      <c r="N11" s="106" t="s">
        <v>342</v>
      </c>
      <c r="O11" s="105">
        <v>400</v>
      </c>
      <c r="P11" s="105" t="s">
        <v>343</v>
      </c>
      <c r="Q11" s="105">
        <f>COUNTIF($L$7:$L$35,"C")</f>
        <v>2</v>
      </c>
    </row>
    <row r="12" spans="1:17" ht="39.950000000000003" customHeight="1" x14ac:dyDescent="0.25">
      <c r="A12" s="54">
        <v>6</v>
      </c>
      <c r="B12" s="69" t="s">
        <v>242</v>
      </c>
      <c r="C12" s="70" t="s">
        <v>243</v>
      </c>
      <c r="D12" s="57" t="s">
        <v>231</v>
      </c>
      <c r="E12" s="125"/>
      <c r="F12" s="126"/>
      <c r="G12" s="126"/>
      <c r="H12" s="126"/>
      <c r="I12" s="126"/>
      <c r="J12" s="127"/>
      <c r="K12" s="58">
        <f t="shared" si="0"/>
        <v>0</v>
      </c>
      <c r="L12" s="105" t="str">
        <f t="shared" si="1"/>
        <v>D</v>
      </c>
      <c r="N12" s="106" t="s">
        <v>344</v>
      </c>
      <c r="O12" s="105">
        <v>450</v>
      </c>
      <c r="P12" s="105" t="s">
        <v>345</v>
      </c>
      <c r="Q12" s="105">
        <f>COUNTIF($L$7:$L$35,"B")</f>
        <v>0</v>
      </c>
    </row>
    <row r="13" spans="1:17" ht="39.950000000000003" customHeight="1" x14ac:dyDescent="0.25">
      <c r="A13" s="54">
        <v>7</v>
      </c>
      <c r="B13" s="69" t="s">
        <v>244</v>
      </c>
      <c r="C13" s="70" t="s">
        <v>245</v>
      </c>
      <c r="D13" s="57" t="s">
        <v>231</v>
      </c>
      <c r="E13" s="128"/>
      <c r="F13" s="129"/>
      <c r="G13" s="129"/>
      <c r="H13" s="129"/>
      <c r="I13" s="129"/>
      <c r="J13" s="130"/>
      <c r="K13" s="58">
        <f t="shared" si="0"/>
        <v>0</v>
      </c>
      <c r="L13" s="105" t="str">
        <f t="shared" si="1"/>
        <v>D</v>
      </c>
      <c r="N13" s="106" t="s">
        <v>346</v>
      </c>
      <c r="O13" s="105">
        <v>500</v>
      </c>
      <c r="P13" s="105" t="s">
        <v>347</v>
      </c>
      <c r="Q13" s="105">
        <f>COUNTIF($L$7:$L$35,"A")</f>
        <v>0</v>
      </c>
    </row>
    <row r="14" spans="1:17" ht="39.950000000000003" customHeight="1" x14ac:dyDescent="0.25">
      <c r="A14" s="10">
        <v>8</v>
      </c>
      <c r="B14" s="48" t="s">
        <v>246</v>
      </c>
      <c r="C14" s="49" t="s">
        <v>247</v>
      </c>
      <c r="D14" s="9" t="s">
        <v>231</v>
      </c>
      <c r="E14" s="11">
        <v>15</v>
      </c>
      <c r="F14" s="11">
        <v>17</v>
      </c>
      <c r="G14" s="11">
        <v>34</v>
      </c>
      <c r="H14" s="24">
        <v>41</v>
      </c>
      <c r="I14" s="24">
        <v>41</v>
      </c>
      <c r="J14" s="24">
        <v>51</v>
      </c>
      <c r="K14" s="12">
        <f t="shared" si="0"/>
        <v>443.33333333333331</v>
      </c>
      <c r="L14" s="105" t="str">
        <f t="shared" si="1"/>
        <v>C</v>
      </c>
      <c r="N14" s="108" t="s">
        <v>348</v>
      </c>
      <c r="O14" s="109"/>
      <c r="P14" s="110"/>
      <c r="Q14" s="107">
        <f>SUM(Q10:Q13)</f>
        <v>26</v>
      </c>
    </row>
    <row r="15" spans="1:17" ht="39.950000000000003" customHeight="1" x14ac:dyDescent="0.25">
      <c r="A15" s="54">
        <v>9</v>
      </c>
      <c r="B15" s="69" t="s">
        <v>248</v>
      </c>
      <c r="C15" s="70" t="s">
        <v>249</v>
      </c>
      <c r="D15" s="57" t="s">
        <v>231</v>
      </c>
      <c r="E15" s="122" t="s">
        <v>335</v>
      </c>
      <c r="F15" s="123"/>
      <c r="G15" s="123"/>
      <c r="H15" s="123"/>
      <c r="I15" s="123"/>
      <c r="J15" s="124"/>
      <c r="K15" s="58">
        <f t="shared" si="0"/>
        <v>0</v>
      </c>
      <c r="L15" s="105" t="str">
        <f t="shared" si="1"/>
        <v>D</v>
      </c>
    </row>
    <row r="16" spans="1:17" ht="39.950000000000003" customHeight="1" x14ac:dyDescent="0.25">
      <c r="A16" s="54">
        <v>10</v>
      </c>
      <c r="B16" s="69" t="s">
        <v>250</v>
      </c>
      <c r="C16" s="70" t="s">
        <v>251</v>
      </c>
      <c r="D16" s="57" t="s">
        <v>231</v>
      </c>
      <c r="E16" s="125"/>
      <c r="F16" s="126"/>
      <c r="G16" s="126"/>
      <c r="H16" s="126"/>
      <c r="I16" s="126"/>
      <c r="J16" s="127"/>
      <c r="K16" s="58">
        <f t="shared" si="0"/>
        <v>0</v>
      </c>
      <c r="L16" s="105" t="str">
        <f t="shared" si="1"/>
        <v>D</v>
      </c>
    </row>
    <row r="17" spans="1:12" ht="39.950000000000003" customHeight="1" x14ac:dyDescent="0.25">
      <c r="A17" s="54">
        <v>11</v>
      </c>
      <c r="B17" s="69" t="s">
        <v>252</v>
      </c>
      <c r="C17" s="70" t="s">
        <v>253</v>
      </c>
      <c r="D17" s="57" t="s">
        <v>231</v>
      </c>
      <c r="E17" s="128"/>
      <c r="F17" s="129"/>
      <c r="G17" s="129"/>
      <c r="H17" s="129"/>
      <c r="I17" s="129"/>
      <c r="J17" s="130"/>
      <c r="K17" s="58">
        <f t="shared" si="0"/>
        <v>0</v>
      </c>
      <c r="L17" s="105" t="str">
        <f t="shared" si="1"/>
        <v>D</v>
      </c>
    </row>
    <row r="18" spans="1:12" ht="39.950000000000003" customHeight="1" x14ac:dyDescent="0.25">
      <c r="A18" s="10">
        <v>12</v>
      </c>
      <c r="B18" s="48" t="s">
        <v>254</v>
      </c>
      <c r="C18" s="49" t="s">
        <v>255</v>
      </c>
      <c r="D18" s="9" t="s">
        <v>231</v>
      </c>
      <c r="E18" s="11">
        <v>14</v>
      </c>
      <c r="F18" s="11">
        <v>14</v>
      </c>
      <c r="G18" s="11">
        <v>32</v>
      </c>
      <c r="H18" s="24">
        <v>39</v>
      </c>
      <c r="I18" s="24">
        <v>38</v>
      </c>
      <c r="J18" s="24">
        <v>49</v>
      </c>
      <c r="K18" s="12">
        <f t="shared" si="0"/>
        <v>420</v>
      </c>
      <c r="L18" s="105" t="str">
        <f t="shared" si="1"/>
        <v>C</v>
      </c>
    </row>
    <row r="19" spans="1:12" ht="39.950000000000003" customHeight="1" x14ac:dyDescent="0.25">
      <c r="A19" s="54">
        <v>13</v>
      </c>
      <c r="B19" s="69" t="s">
        <v>256</v>
      </c>
      <c r="C19" s="70" t="s">
        <v>257</v>
      </c>
      <c r="D19" s="57" t="s">
        <v>231</v>
      </c>
      <c r="E19" s="122" t="s">
        <v>335</v>
      </c>
      <c r="F19" s="123"/>
      <c r="G19" s="123"/>
      <c r="H19" s="123"/>
      <c r="I19" s="123"/>
      <c r="J19" s="124"/>
      <c r="K19" s="58">
        <f t="shared" si="0"/>
        <v>0</v>
      </c>
      <c r="L19" s="105" t="str">
        <f t="shared" si="1"/>
        <v>D</v>
      </c>
    </row>
    <row r="20" spans="1:12" ht="39.950000000000003" customHeight="1" x14ac:dyDescent="0.25">
      <c r="A20" s="54">
        <v>14</v>
      </c>
      <c r="B20" s="69" t="s">
        <v>258</v>
      </c>
      <c r="C20" s="70" t="s">
        <v>259</v>
      </c>
      <c r="D20" s="57" t="s">
        <v>231</v>
      </c>
      <c r="E20" s="125"/>
      <c r="F20" s="126"/>
      <c r="G20" s="126"/>
      <c r="H20" s="126"/>
      <c r="I20" s="126"/>
      <c r="J20" s="127"/>
      <c r="K20" s="58">
        <f t="shared" si="0"/>
        <v>0</v>
      </c>
      <c r="L20" s="105" t="str">
        <f t="shared" si="1"/>
        <v>D</v>
      </c>
    </row>
    <row r="21" spans="1:12" ht="39.950000000000003" customHeight="1" x14ac:dyDescent="0.25">
      <c r="A21" s="54">
        <v>15</v>
      </c>
      <c r="B21" s="69" t="s">
        <v>260</v>
      </c>
      <c r="C21" s="70" t="s">
        <v>261</v>
      </c>
      <c r="D21" s="57" t="s">
        <v>231</v>
      </c>
      <c r="E21" s="125"/>
      <c r="F21" s="126"/>
      <c r="G21" s="126"/>
      <c r="H21" s="126"/>
      <c r="I21" s="126"/>
      <c r="J21" s="127"/>
      <c r="K21" s="58">
        <f t="shared" si="0"/>
        <v>0</v>
      </c>
      <c r="L21" s="105" t="str">
        <f t="shared" si="1"/>
        <v>D</v>
      </c>
    </row>
    <row r="22" spans="1:12" ht="39.950000000000003" customHeight="1" x14ac:dyDescent="0.25">
      <c r="A22" s="54">
        <v>16</v>
      </c>
      <c r="B22" s="69" t="s">
        <v>262</v>
      </c>
      <c r="C22" s="70" t="s">
        <v>263</v>
      </c>
      <c r="D22" s="57" t="s">
        <v>231</v>
      </c>
      <c r="E22" s="125"/>
      <c r="F22" s="126"/>
      <c r="G22" s="126"/>
      <c r="H22" s="126"/>
      <c r="I22" s="126"/>
      <c r="J22" s="127"/>
      <c r="K22" s="58">
        <f t="shared" si="0"/>
        <v>0</v>
      </c>
      <c r="L22" s="105" t="str">
        <f t="shared" si="1"/>
        <v>D</v>
      </c>
    </row>
    <row r="23" spans="1:12" ht="39.950000000000003" customHeight="1" x14ac:dyDescent="0.25">
      <c r="A23" s="54">
        <v>17</v>
      </c>
      <c r="B23" s="69" t="s">
        <v>264</v>
      </c>
      <c r="C23" s="70" t="s">
        <v>265</v>
      </c>
      <c r="D23" s="57" t="s">
        <v>231</v>
      </c>
      <c r="E23" s="125"/>
      <c r="F23" s="126"/>
      <c r="G23" s="126"/>
      <c r="H23" s="126"/>
      <c r="I23" s="126"/>
      <c r="J23" s="127"/>
      <c r="K23" s="58">
        <f t="shared" si="0"/>
        <v>0</v>
      </c>
      <c r="L23" s="105" t="str">
        <f t="shared" si="1"/>
        <v>D</v>
      </c>
    </row>
    <row r="24" spans="1:12" ht="39.950000000000003" customHeight="1" x14ac:dyDescent="0.25">
      <c r="A24" s="54">
        <v>18</v>
      </c>
      <c r="B24" s="69" t="s">
        <v>266</v>
      </c>
      <c r="C24" s="70" t="s">
        <v>267</v>
      </c>
      <c r="D24" s="57" t="s">
        <v>231</v>
      </c>
      <c r="E24" s="125"/>
      <c r="F24" s="126"/>
      <c r="G24" s="126"/>
      <c r="H24" s="126"/>
      <c r="I24" s="126"/>
      <c r="J24" s="127"/>
      <c r="K24" s="58">
        <f t="shared" si="0"/>
        <v>0</v>
      </c>
      <c r="L24" s="105" t="str">
        <f t="shared" si="1"/>
        <v>D</v>
      </c>
    </row>
    <row r="25" spans="1:12" ht="39.950000000000003" customHeight="1" x14ac:dyDescent="0.25">
      <c r="A25" s="54">
        <v>19</v>
      </c>
      <c r="B25" s="69" t="s">
        <v>268</v>
      </c>
      <c r="C25" s="70" t="s">
        <v>269</v>
      </c>
      <c r="D25" s="57" t="s">
        <v>231</v>
      </c>
      <c r="E25" s="125"/>
      <c r="F25" s="126"/>
      <c r="G25" s="126"/>
      <c r="H25" s="126"/>
      <c r="I25" s="126"/>
      <c r="J25" s="127"/>
      <c r="K25" s="58">
        <f t="shared" si="0"/>
        <v>0</v>
      </c>
      <c r="L25" s="105" t="str">
        <f t="shared" si="1"/>
        <v>D</v>
      </c>
    </row>
    <row r="26" spans="1:12" ht="39.950000000000003" customHeight="1" x14ac:dyDescent="0.25">
      <c r="A26" s="54">
        <v>20</v>
      </c>
      <c r="B26" s="69" t="s">
        <v>270</v>
      </c>
      <c r="C26" s="70" t="s">
        <v>271</v>
      </c>
      <c r="D26" s="57" t="s">
        <v>231</v>
      </c>
      <c r="E26" s="125"/>
      <c r="F26" s="126"/>
      <c r="G26" s="126"/>
      <c r="H26" s="126"/>
      <c r="I26" s="126"/>
      <c r="J26" s="127"/>
      <c r="K26" s="58">
        <f t="shared" si="0"/>
        <v>0</v>
      </c>
      <c r="L26" s="105" t="str">
        <f t="shared" si="1"/>
        <v>D</v>
      </c>
    </row>
    <row r="27" spans="1:12" ht="39.950000000000003" customHeight="1" x14ac:dyDescent="0.25">
      <c r="A27" s="54">
        <v>21</v>
      </c>
      <c r="B27" s="69" t="s">
        <v>272</v>
      </c>
      <c r="C27" s="70" t="s">
        <v>273</v>
      </c>
      <c r="D27" s="57" t="s">
        <v>231</v>
      </c>
      <c r="E27" s="125"/>
      <c r="F27" s="126"/>
      <c r="G27" s="126"/>
      <c r="H27" s="126"/>
      <c r="I27" s="126"/>
      <c r="J27" s="127"/>
      <c r="K27" s="58">
        <f t="shared" si="0"/>
        <v>0</v>
      </c>
      <c r="L27" s="105" t="str">
        <f t="shared" si="1"/>
        <v>D</v>
      </c>
    </row>
    <row r="28" spans="1:12" ht="39.950000000000003" customHeight="1" x14ac:dyDescent="0.25">
      <c r="A28" s="54">
        <v>22</v>
      </c>
      <c r="B28" s="69" t="s">
        <v>274</v>
      </c>
      <c r="C28" s="70" t="s">
        <v>275</v>
      </c>
      <c r="D28" s="57" t="s">
        <v>231</v>
      </c>
      <c r="E28" s="125"/>
      <c r="F28" s="126"/>
      <c r="G28" s="126"/>
      <c r="H28" s="126"/>
      <c r="I28" s="126"/>
      <c r="J28" s="127"/>
      <c r="K28" s="58">
        <f t="shared" si="0"/>
        <v>0</v>
      </c>
      <c r="L28" s="105" t="str">
        <f t="shared" si="1"/>
        <v>D</v>
      </c>
    </row>
    <row r="29" spans="1:12" ht="39.950000000000003" customHeight="1" x14ac:dyDescent="0.25">
      <c r="A29" s="54">
        <v>23</v>
      </c>
      <c r="B29" s="69" t="s">
        <v>276</v>
      </c>
      <c r="C29" s="70" t="s">
        <v>277</v>
      </c>
      <c r="D29" s="57" t="s">
        <v>231</v>
      </c>
      <c r="E29" s="125"/>
      <c r="F29" s="126"/>
      <c r="G29" s="126"/>
      <c r="H29" s="126"/>
      <c r="I29" s="126"/>
      <c r="J29" s="127"/>
      <c r="K29" s="58">
        <f t="shared" si="0"/>
        <v>0</v>
      </c>
      <c r="L29" s="105" t="str">
        <f t="shared" si="1"/>
        <v>D</v>
      </c>
    </row>
    <row r="30" spans="1:12" ht="39.950000000000003" customHeight="1" x14ac:dyDescent="0.25">
      <c r="A30" s="54">
        <v>24</v>
      </c>
      <c r="B30" s="69" t="s">
        <v>278</v>
      </c>
      <c r="C30" s="70" t="s">
        <v>279</v>
      </c>
      <c r="D30" s="57" t="s">
        <v>231</v>
      </c>
      <c r="E30" s="125"/>
      <c r="F30" s="126"/>
      <c r="G30" s="126"/>
      <c r="H30" s="126"/>
      <c r="I30" s="126"/>
      <c r="J30" s="127"/>
      <c r="K30" s="58">
        <f t="shared" si="0"/>
        <v>0</v>
      </c>
      <c r="L30" s="105" t="str">
        <f t="shared" si="1"/>
        <v>D</v>
      </c>
    </row>
    <row r="31" spans="1:12" ht="39.950000000000003" customHeight="1" x14ac:dyDescent="0.25">
      <c r="A31" s="54">
        <v>25</v>
      </c>
      <c r="B31" s="69" t="s">
        <v>280</v>
      </c>
      <c r="C31" s="70" t="s">
        <v>281</v>
      </c>
      <c r="D31" s="57" t="s">
        <v>231</v>
      </c>
      <c r="E31" s="125"/>
      <c r="F31" s="126"/>
      <c r="G31" s="126"/>
      <c r="H31" s="126"/>
      <c r="I31" s="126"/>
      <c r="J31" s="127"/>
      <c r="K31" s="58">
        <f t="shared" si="0"/>
        <v>0</v>
      </c>
      <c r="L31" s="105" t="str">
        <f t="shared" si="1"/>
        <v>D</v>
      </c>
    </row>
    <row r="32" spans="1:12" ht="39.950000000000003" customHeight="1" x14ac:dyDescent="0.25">
      <c r="A32" s="54">
        <v>26</v>
      </c>
      <c r="B32" s="69" t="s">
        <v>282</v>
      </c>
      <c r="C32" s="70" t="s">
        <v>283</v>
      </c>
      <c r="D32" s="57" t="s">
        <v>231</v>
      </c>
      <c r="E32" s="128"/>
      <c r="F32" s="129"/>
      <c r="G32" s="129"/>
      <c r="H32" s="129"/>
      <c r="I32" s="129"/>
      <c r="J32" s="130"/>
      <c r="K32" s="58">
        <f t="shared" si="0"/>
        <v>0</v>
      </c>
      <c r="L32" s="105" t="str">
        <f t="shared" si="1"/>
        <v>D</v>
      </c>
    </row>
    <row r="33" spans="1:11" ht="54.95" customHeight="1" x14ac:dyDescent="0.3">
      <c r="A33" s="14"/>
      <c r="B33" s="15"/>
      <c r="C33" s="16"/>
      <c r="D33" s="14"/>
      <c r="E33" s="16"/>
      <c r="F33" s="114"/>
      <c r="G33" s="114"/>
      <c r="H33" s="120" t="s">
        <v>14</v>
      </c>
      <c r="I33" s="120"/>
      <c r="J33" s="120"/>
      <c r="K33" s="120"/>
    </row>
    <row r="34" spans="1:11" ht="84.95" customHeight="1" x14ac:dyDescent="0.3">
      <c r="A34" s="14"/>
      <c r="B34" s="15"/>
      <c r="C34" s="16"/>
      <c r="D34" s="14"/>
      <c r="E34" s="16"/>
      <c r="F34" s="17"/>
      <c r="G34" s="16"/>
      <c r="H34" s="121" t="s">
        <v>11</v>
      </c>
      <c r="I34" s="121"/>
      <c r="J34" s="121"/>
      <c r="K34" s="121"/>
    </row>
    <row r="35" spans="1:11" ht="24.75" customHeight="1" x14ac:dyDescent="0.25">
      <c r="A35" s="14"/>
      <c r="B35" s="15"/>
      <c r="C35" s="16"/>
      <c r="D35" s="14"/>
      <c r="E35" s="16"/>
      <c r="F35" s="17"/>
      <c r="G35" s="17"/>
      <c r="H35" s="113" t="s">
        <v>12</v>
      </c>
      <c r="I35" s="113"/>
      <c r="J35" s="113"/>
      <c r="K35" s="113"/>
    </row>
    <row r="36" spans="1:11" ht="24.95" customHeight="1" x14ac:dyDescent="0.25">
      <c r="A36" s="14"/>
      <c r="B36" s="15"/>
      <c r="C36" s="16"/>
      <c r="D36" s="14"/>
      <c r="E36" s="16"/>
      <c r="F36" s="16"/>
      <c r="G36" s="16"/>
      <c r="H36" s="16"/>
      <c r="I36" s="16"/>
      <c r="J36" s="16"/>
      <c r="K36" s="18"/>
    </row>
    <row r="37" spans="1:11" ht="24.95" customHeight="1" x14ac:dyDescent="0.25">
      <c r="A37" s="19"/>
      <c r="B37" s="19"/>
      <c r="C37" s="18"/>
      <c r="D37" s="19"/>
      <c r="E37" s="18"/>
      <c r="F37" s="18"/>
      <c r="G37" s="18"/>
      <c r="H37" s="18"/>
      <c r="I37" s="18"/>
      <c r="J37" s="18"/>
      <c r="K37" s="18"/>
    </row>
    <row r="38" spans="1:11" ht="24.75" customHeight="1" x14ac:dyDescent="0.25">
      <c r="A38" s="19"/>
      <c r="B38" s="19"/>
      <c r="C38" s="18"/>
      <c r="D38" s="19"/>
      <c r="E38" s="18"/>
      <c r="F38" s="18"/>
      <c r="G38" s="18"/>
      <c r="H38" s="18"/>
      <c r="I38" s="18"/>
      <c r="J38" s="18"/>
      <c r="K38" s="18"/>
    </row>
    <row r="39" spans="1:11" ht="24.95" customHeight="1" x14ac:dyDescent="0.25">
      <c r="A39" s="19"/>
      <c r="B39" s="19"/>
      <c r="C39" s="18"/>
      <c r="D39" s="19"/>
      <c r="E39" s="18"/>
      <c r="F39" s="18"/>
      <c r="G39" s="18"/>
      <c r="H39" s="18"/>
      <c r="I39" s="18"/>
      <c r="J39" s="18"/>
      <c r="K39" s="18"/>
    </row>
    <row r="40" spans="1:11" ht="24" customHeight="1" x14ac:dyDescent="0.25">
      <c r="A40" s="19"/>
      <c r="B40" s="19"/>
      <c r="C40" s="18"/>
      <c r="D40" s="19"/>
      <c r="E40" s="18"/>
      <c r="F40" s="18"/>
      <c r="G40" s="18"/>
      <c r="H40" s="18"/>
      <c r="I40" s="18"/>
      <c r="J40" s="18"/>
      <c r="K40" s="18"/>
    </row>
    <row r="41" spans="1:11" ht="24" customHeight="1" x14ac:dyDescent="0.25">
      <c r="A41" s="19"/>
      <c r="B41" s="19"/>
      <c r="C41" s="18"/>
      <c r="D41" s="19"/>
      <c r="E41" s="18"/>
      <c r="F41" s="18"/>
      <c r="G41" s="18"/>
      <c r="H41" s="18"/>
      <c r="I41" s="18"/>
      <c r="J41" s="18"/>
      <c r="K41" s="18"/>
    </row>
    <row r="42" spans="1:11" ht="18.75" customHeight="1" x14ac:dyDescent="0.25">
      <c r="A42" s="19"/>
      <c r="B42" s="19"/>
      <c r="C42" s="18"/>
      <c r="D42" s="19"/>
      <c r="E42" s="18"/>
      <c r="F42" s="18"/>
      <c r="G42" s="18"/>
      <c r="H42" s="18"/>
      <c r="I42" s="18"/>
      <c r="J42" s="18"/>
      <c r="K42" s="18"/>
    </row>
    <row r="43" spans="1:11" ht="22.5" customHeight="1" x14ac:dyDescent="0.25">
      <c r="A43" s="19"/>
      <c r="B43" s="19"/>
      <c r="C43" s="18"/>
      <c r="D43" s="19"/>
      <c r="E43" s="18"/>
      <c r="F43" s="18"/>
      <c r="G43" s="18"/>
      <c r="H43" s="18"/>
      <c r="I43" s="18"/>
      <c r="J43" s="18"/>
      <c r="K43" s="18"/>
    </row>
    <row r="44" spans="1:11" ht="24.75" customHeight="1" x14ac:dyDescent="0.25">
      <c r="A44" s="19"/>
      <c r="B44" s="19"/>
      <c r="C44" s="18"/>
      <c r="D44" s="19"/>
      <c r="E44" s="18"/>
      <c r="F44" s="18"/>
      <c r="G44" s="18"/>
      <c r="H44" s="18"/>
      <c r="I44" s="18"/>
      <c r="J44" s="18"/>
      <c r="K44" s="18"/>
    </row>
    <row r="45" spans="1:11" ht="23.25" customHeight="1" x14ac:dyDescent="0.25">
      <c r="A45" s="19"/>
      <c r="B45" s="19"/>
      <c r="C45" s="18"/>
      <c r="D45" s="19"/>
      <c r="E45" s="18"/>
      <c r="F45" s="18"/>
      <c r="G45" s="18"/>
      <c r="H45" s="18"/>
      <c r="I45" s="18"/>
      <c r="J45" s="18"/>
      <c r="K45" s="18"/>
    </row>
    <row r="46" spans="1:11" ht="23.25" customHeight="1" x14ac:dyDescent="0.25">
      <c r="E46" s="2"/>
      <c r="F46" s="2"/>
      <c r="G46" s="2"/>
      <c r="H46" s="2"/>
      <c r="I46" s="2"/>
      <c r="J46" s="2"/>
      <c r="K46" s="2"/>
    </row>
    <row r="47" spans="1:11" ht="23.25" customHeight="1" x14ac:dyDescent="0.25">
      <c r="E47" s="2"/>
      <c r="F47" s="2"/>
      <c r="G47" s="2"/>
      <c r="H47" s="2"/>
      <c r="I47" s="2"/>
      <c r="J47" s="2"/>
      <c r="K47" s="2"/>
    </row>
    <row r="48" spans="1:11" ht="23.25" customHeight="1" x14ac:dyDescent="0.25">
      <c r="E48" s="2"/>
      <c r="F48" s="2"/>
      <c r="G48" s="2"/>
      <c r="H48" s="2"/>
      <c r="I48" s="2"/>
      <c r="J48" s="2"/>
      <c r="K48" s="2"/>
    </row>
    <row r="49" spans="5:11" ht="84" customHeight="1" x14ac:dyDescent="0.25">
      <c r="E49" s="2"/>
      <c r="F49" s="2"/>
      <c r="G49" s="2"/>
      <c r="H49" s="2"/>
      <c r="I49" s="2"/>
      <c r="J49" s="2"/>
      <c r="K49" s="2"/>
    </row>
    <row r="50" spans="5:11" x14ac:dyDescent="0.25">
      <c r="E50" s="2"/>
      <c r="F50" s="2"/>
      <c r="G50" s="2"/>
      <c r="H50" s="2"/>
      <c r="I50" s="2"/>
      <c r="J50" s="2"/>
      <c r="K50" s="2"/>
    </row>
    <row r="51" spans="5:11" x14ac:dyDescent="0.25">
      <c r="E51" s="2"/>
      <c r="F51" s="2"/>
      <c r="G51" s="2"/>
      <c r="H51" s="2"/>
      <c r="I51" s="2"/>
      <c r="J51" s="2"/>
      <c r="K51" s="2"/>
    </row>
    <row r="52" spans="5:11" x14ac:dyDescent="0.25">
      <c r="E52" s="2"/>
      <c r="F52" s="2"/>
      <c r="G52" s="2"/>
      <c r="H52" s="2"/>
      <c r="I52" s="2"/>
      <c r="J52" s="2"/>
      <c r="K52" s="2"/>
    </row>
    <row r="53" spans="5:11" x14ac:dyDescent="0.25">
      <c r="E53" s="2"/>
      <c r="F53" s="2"/>
      <c r="G53" s="2"/>
      <c r="H53" s="2"/>
      <c r="I53" s="2"/>
      <c r="J53" s="2"/>
      <c r="K53" s="2"/>
    </row>
    <row r="54" spans="5:11" x14ac:dyDescent="0.25">
      <c r="E54" s="2"/>
      <c r="F54" s="2"/>
      <c r="G54" s="2"/>
      <c r="H54" s="2"/>
      <c r="I54" s="2"/>
      <c r="J54" s="2"/>
      <c r="K54" s="2"/>
    </row>
    <row r="55" spans="5:11" x14ac:dyDescent="0.25">
      <c r="E55" s="2"/>
      <c r="F55" s="2"/>
      <c r="G55" s="2"/>
      <c r="H55" s="2"/>
      <c r="I55" s="2"/>
      <c r="J55" s="2"/>
      <c r="K55" s="2"/>
    </row>
    <row r="56" spans="5:11" x14ac:dyDescent="0.25">
      <c r="E56" s="2"/>
      <c r="F56" s="2"/>
      <c r="G56" s="2"/>
      <c r="H56" s="2"/>
      <c r="I56" s="2"/>
      <c r="J56" s="2"/>
      <c r="K56" s="2"/>
    </row>
    <row r="57" spans="5:11" x14ac:dyDescent="0.25">
      <c r="E57" s="2"/>
      <c r="F57" s="2"/>
      <c r="G57" s="2"/>
      <c r="H57" s="2"/>
      <c r="I57" s="2"/>
      <c r="J57" s="2"/>
      <c r="K57" s="2"/>
    </row>
  </sheetData>
  <mergeCells count="14">
    <mergeCell ref="F33:G33"/>
    <mergeCell ref="H33:K33"/>
    <mergeCell ref="H34:K34"/>
    <mergeCell ref="H35:K35"/>
    <mergeCell ref="E7:J13"/>
    <mergeCell ref="E15:J17"/>
    <mergeCell ref="E19:J32"/>
    <mergeCell ref="N14:P14"/>
    <mergeCell ref="L5:L6"/>
    <mergeCell ref="A1:K1"/>
    <mergeCell ref="A2:K2"/>
    <mergeCell ref="A3:K3"/>
    <mergeCell ref="E5:G5"/>
    <mergeCell ref="H5:J5"/>
  </mergeCells>
  <conditionalFormatting sqref="B7:C32">
    <cfRule type="cellIs" dxfId="7" priority="3" stopIfTrue="1" operator="equal">
      <formula>"A"</formula>
    </cfRule>
    <cfRule type="cellIs" dxfId="6" priority="4" stopIfTrue="1" operator="equal">
      <formula>"I"</formula>
    </cfRule>
    <cfRule type="cellIs" dxfId="5" priority="5" stopIfTrue="1" operator="equal">
      <formula>"S"</formula>
    </cfRule>
  </conditionalFormatting>
  <conditionalFormatting sqref="B7:C32">
    <cfRule type="cellIs" dxfId="4" priority="1" stopIfTrue="1" operator="equal">
      <formula>"E"</formula>
    </cfRule>
    <cfRule type="cellIs" dxfId="3" priority="2" stopIfTrue="1" operator="equal">
      <formula>"D"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53"/>
  <sheetViews>
    <sheetView tabSelected="1" workbookViewId="0">
      <selection activeCell="A5" sqref="A5:L6"/>
    </sheetView>
  </sheetViews>
  <sheetFormatPr defaultRowHeight="15.75" x14ac:dyDescent="0.25"/>
  <cols>
    <col min="1" max="1" width="5.140625" style="2" bestFit="1" customWidth="1"/>
    <col min="2" max="2" width="38.140625" style="2" bestFit="1" customWidth="1"/>
    <col min="3" max="3" width="20.7109375" style="2" bestFit="1" customWidth="1"/>
    <col min="4" max="4" width="25.42578125" style="2" bestFit="1" customWidth="1"/>
    <col min="5" max="7" width="8.7109375" style="5" customWidth="1"/>
    <col min="8" max="8" width="11.5703125" style="5" bestFit="1" customWidth="1"/>
    <col min="9" max="9" width="11.85546875" style="5" bestFit="1" customWidth="1"/>
    <col min="10" max="10" width="10.85546875" style="5" bestFit="1" customWidth="1"/>
    <col min="11" max="11" width="10.7109375" style="5" customWidth="1"/>
    <col min="12" max="13" width="9.140625" style="2"/>
    <col min="14" max="14" width="10" style="2" bestFit="1" customWidth="1"/>
    <col min="15" max="16384" width="9.140625" style="2"/>
  </cols>
  <sheetData>
    <row r="1" spans="1:17" ht="24.95" customHeight="1" x14ac:dyDescent="0.25">
      <c r="A1" s="119" t="s">
        <v>13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7" ht="24.95" customHeight="1" x14ac:dyDescent="0.25">
      <c r="A2" s="119" t="s">
        <v>62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</row>
    <row r="3" spans="1:17" ht="35.25" customHeight="1" x14ac:dyDescent="0.25">
      <c r="A3" s="119" t="s">
        <v>63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</row>
    <row r="4" spans="1:17" x14ac:dyDescent="0.25">
      <c r="A4" s="1"/>
      <c r="B4" s="8"/>
      <c r="C4" s="8"/>
      <c r="D4" s="1"/>
      <c r="E4" s="6"/>
      <c r="F4" s="6"/>
      <c r="G4" s="6"/>
      <c r="H4" s="6"/>
      <c r="I4" s="6"/>
      <c r="J4" s="6"/>
      <c r="K4" s="6"/>
    </row>
    <row r="5" spans="1:17" ht="20.100000000000001" customHeight="1" x14ac:dyDescent="0.25">
      <c r="D5"/>
      <c r="E5" s="133" t="s">
        <v>3</v>
      </c>
      <c r="F5" s="134"/>
      <c r="G5" s="135"/>
      <c r="H5" s="133" t="s">
        <v>4</v>
      </c>
      <c r="I5" s="134"/>
      <c r="J5" s="135"/>
      <c r="K5" s="104" t="s">
        <v>0</v>
      </c>
      <c r="L5" s="111" t="s">
        <v>349</v>
      </c>
    </row>
    <row r="6" spans="1:17" ht="20.100000000000001" customHeight="1" x14ac:dyDescent="0.25">
      <c r="A6" s="132" t="s">
        <v>1</v>
      </c>
      <c r="B6" s="131" t="s">
        <v>2</v>
      </c>
      <c r="C6" s="131" t="s">
        <v>16</v>
      </c>
      <c r="D6" t="s">
        <v>350</v>
      </c>
      <c r="E6" s="30" t="s">
        <v>5</v>
      </c>
      <c r="F6" s="31" t="s">
        <v>6</v>
      </c>
      <c r="G6" s="31" t="s">
        <v>7</v>
      </c>
      <c r="H6" s="30" t="s">
        <v>8</v>
      </c>
      <c r="I6" s="31" t="s">
        <v>9</v>
      </c>
      <c r="J6" s="31" t="s">
        <v>10</v>
      </c>
      <c r="K6" s="104" t="s">
        <v>0</v>
      </c>
      <c r="L6" s="112"/>
    </row>
    <row r="7" spans="1:17" ht="39.950000000000003" customHeight="1" x14ac:dyDescent="0.25">
      <c r="A7" s="54">
        <v>1</v>
      </c>
      <c r="B7" s="63" t="s">
        <v>18</v>
      </c>
      <c r="C7" s="64" t="s">
        <v>19</v>
      </c>
      <c r="D7" s="57" t="s">
        <v>17</v>
      </c>
      <c r="E7" s="122" t="s">
        <v>335</v>
      </c>
      <c r="F7" s="123"/>
      <c r="G7" s="123"/>
      <c r="H7" s="123"/>
      <c r="I7" s="123"/>
      <c r="J7" s="124"/>
      <c r="K7" s="58">
        <f>SUM(H7:J7)*10/3</f>
        <v>0</v>
      </c>
      <c r="L7" s="105" t="str">
        <f>VLOOKUP(K7,$O$10:$P$13,2,1)</f>
        <v>D</v>
      </c>
    </row>
    <row r="8" spans="1:17" ht="39.950000000000003" customHeight="1" x14ac:dyDescent="0.25">
      <c r="A8" s="54">
        <v>2</v>
      </c>
      <c r="B8" s="63" t="s">
        <v>20</v>
      </c>
      <c r="C8" s="64" t="s">
        <v>21</v>
      </c>
      <c r="D8" s="57" t="s">
        <v>17</v>
      </c>
      <c r="E8" s="128"/>
      <c r="F8" s="129"/>
      <c r="G8" s="129"/>
      <c r="H8" s="129"/>
      <c r="I8" s="129"/>
      <c r="J8" s="130"/>
      <c r="K8" s="58">
        <f t="shared" ref="K8:K28" si="0">SUM(H8:J8)*10/3</f>
        <v>0</v>
      </c>
      <c r="L8" s="105" t="str">
        <f t="shared" ref="L8:L28" si="1">VLOOKUP(K8,$O$10:$P$13,2,1)</f>
        <v>D</v>
      </c>
    </row>
    <row r="9" spans="1:17" ht="39.950000000000003" customHeight="1" x14ac:dyDescent="0.25">
      <c r="A9" s="10">
        <v>3</v>
      </c>
      <c r="B9" s="32" t="s">
        <v>22</v>
      </c>
      <c r="C9" s="33" t="s">
        <v>23</v>
      </c>
      <c r="D9" s="9" t="s">
        <v>17</v>
      </c>
      <c r="E9" s="11">
        <v>17</v>
      </c>
      <c r="F9" s="11">
        <v>15</v>
      </c>
      <c r="G9" s="11">
        <v>12</v>
      </c>
      <c r="H9" s="24">
        <v>42</v>
      </c>
      <c r="I9" s="24">
        <v>40</v>
      </c>
      <c r="J9" s="24">
        <v>31</v>
      </c>
      <c r="K9" s="12">
        <f t="shared" si="0"/>
        <v>376.66666666666669</v>
      </c>
      <c r="L9" s="105" t="str">
        <f t="shared" si="1"/>
        <v>D</v>
      </c>
      <c r="N9" s="105" t="s">
        <v>336</v>
      </c>
      <c r="O9" s="105" t="s">
        <v>337</v>
      </c>
      <c r="P9" s="105" t="s">
        <v>338</v>
      </c>
      <c r="Q9" s="105" t="s">
        <v>339</v>
      </c>
    </row>
    <row r="10" spans="1:17" ht="39.950000000000003" customHeight="1" x14ac:dyDescent="0.25">
      <c r="A10" s="54">
        <v>4</v>
      </c>
      <c r="B10" s="63" t="s">
        <v>24</v>
      </c>
      <c r="C10" s="64" t="s">
        <v>25</v>
      </c>
      <c r="D10" s="57" t="s">
        <v>17</v>
      </c>
      <c r="E10" s="122" t="s">
        <v>335</v>
      </c>
      <c r="F10" s="123"/>
      <c r="G10" s="123"/>
      <c r="H10" s="123"/>
      <c r="I10" s="123"/>
      <c r="J10" s="124"/>
      <c r="K10" s="58">
        <f t="shared" si="0"/>
        <v>0</v>
      </c>
      <c r="L10" s="105" t="str">
        <f t="shared" si="1"/>
        <v>D</v>
      </c>
      <c r="N10" s="106" t="s">
        <v>340</v>
      </c>
      <c r="O10" s="105">
        <v>0</v>
      </c>
      <c r="P10" s="105" t="s">
        <v>341</v>
      </c>
      <c r="Q10" s="105">
        <f>COUNTIF($L$7:$L$35,"D")</f>
        <v>21</v>
      </c>
    </row>
    <row r="11" spans="1:17" ht="39.950000000000003" customHeight="1" x14ac:dyDescent="0.25">
      <c r="A11" s="54">
        <v>5</v>
      </c>
      <c r="B11" s="63" t="s">
        <v>26</v>
      </c>
      <c r="C11" s="64" t="s">
        <v>27</v>
      </c>
      <c r="D11" s="57" t="s">
        <v>17</v>
      </c>
      <c r="E11" s="125"/>
      <c r="F11" s="126"/>
      <c r="G11" s="126"/>
      <c r="H11" s="126"/>
      <c r="I11" s="126"/>
      <c r="J11" s="127"/>
      <c r="K11" s="58">
        <f t="shared" si="0"/>
        <v>0</v>
      </c>
      <c r="L11" s="105" t="str">
        <f t="shared" si="1"/>
        <v>D</v>
      </c>
      <c r="N11" s="106" t="s">
        <v>342</v>
      </c>
      <c r="O11" s="105">
        <v>400</v>
      </c>
      <c r="P11" s="105" t="s">
        <v>343</v>
      </c>
      <c r="Q11" s="105">
        <f>COUNTIF($L$7:$L$35,"C")</f>
        <v>1</v>
      </c>
    </row>
    <row r="12" spans="1:17" ht="39.950000000000003" customHeight="1" x14ac:dyDescent="0.25">
      <c r="A12" s="54">
        <v>6</v>
      </c>
      <c r="B12" s="63" t="s">
        <v>28</v>
      </c>
      <c r="C12" s="64" t="s">
        <v>29</v>
      </c>
      <c r="D12" s="57" t="s">
        <v>17</v>
      </c>
      <c r="E12" s="125"/>
      <c r="F12" s="126"/>
      <c r="G12" s="126"/>
      <c r="H12" s="126"/>
      <c r="I12" s="126"/>
      <c r="J12" s="127"/>
      <c r="K12" s="58">
        <f t="shared" si="0"/>
        <v>0</v>
      </c>
      <c r="L12" s="105" t="str">
        <f t="shared" si="1"/>
        <v>D</v>
      </c>
      <c r="N12" s="106" t="s">
        <v>344</v>
      </c>
      <c r="O12" s="105">
        <v>450</v>
      </c>
      <c r="P12" s="105" t="s">
        <v>345</v>
      </c>
      <c r="Q12" s="105">
        <f>COUNTIF($L$7:$L$35,"B")</f>
        <v>0</v>
      </c>
    </row>
    <row r="13" spans="1:17" ht="39.950000000000003" customHeight="1" x14ac:dyDescent="0.25">
      <c r="A13" s="54">
        <v>7</v>
      </c>
      <c r="B13" s="63" t="s">
        <v>30</v>
      </c>
      <c r="C13" s="64" t="s">
        <v>31</v>
      </c>
      <c r="D13" s="57" t="s">
        <v>17</v>
      </c>
      <c r="E13" s="125"/>
      <c r="F13" s="126"/>
      <c r="G13" s="126"/>
      <c r="H13" s="126"/>
      <c r="I13" s="126"/>
      <c r="J13" s="127"/>
      <c r="K13" s="58">
        <f t="shared" si="0"/>
        <v>0</v>
      </c>
      <c r="L13" s="105" t="str">
        <f t="shared" si="1"/>
        <v>D</v>
      </c>
      <c r="N13" s="106" t="s">
        <v>346</v>
      </c>
      <c r="O13" s="105">
        <v>500</v>
      </c>
      <c r="P13" s="105" t="s">
        <v>347</v>
      </c>
      <c r="Q13" s="105">
        <f>COUNTIF($L$7:$L$35,"A")</f>
        <v>0</v>
      </c>
    </row>
    <row r="14" spans="1:17" ht="39.950000000000003" customHeight="1" x14ac:dyDescent="0.25">
      <c r="A14" s="54">
        <v>8</v>
      </c>
      <c r="B14" s="63" t="s">
        <v>32</v>
      </c>
      <c r="C14" s="64" t="s">
        <v>33</v>
      </c>
      <c r="D14" s="57" t="s">
        <v>17</v>
      </c>
      <c r="E14" s="125"/>
      <c r="F14" s="126"/>
      <c r="G14" s="126"/>
      <c r="H14" s="126"/>
      <c r="I14" s="126"/>
      <c r="J14" s="127"/>
      <c r="K14" s="58">
        <f t="shared" si="0"/>
        <v>0</v>
      </c>
      <c r="L14" s="105" t="str">
        <f t="shared" si="1"/>
        <v>D</v>
      </c>
      <c r="N14" s="108" t="s">
        <v>348</v>
      </c>
      <c r="O14" s="109"/>
      <c r="P14" s="110"/>
      <c r="Q14" s="107">
        <f>SUM(Q10:Q13)</f>
        <v>22</v>
      </c>
    </row>
    <row r="15" spans="1:17" ht="39.950000000000003" customHeight="1" x14ac:dyDescent="0.25">
      <c r="A15" s="54">
        <v>9</v>
      </c>
      <c r="B15" s="63" t="s">
        <v>34</v>
      </c>
      <c r="C15" s="64" t="s">
        <v>35</v>
      </c>
      <c r="D15" s="57" t="s">
        <v>17</v>
      </c>
      <c r="E15" s="125"/>
      <c r="F15" s="126"/>
      <c r="G15" s="126"/>
      <c r="H15" s="126"/>
      <c r="I15" s="126"/>
      <c r="J15" s="127"/>
      <c r="K15" s="58">
        <f t="shared" si="0"/>
        <v>0</v>
      </c>
      <c r="L15" s="105" t="str">
        <f t="shared" si="1"/>
        <v>D</v>
      </c>
    </row>
    <row r="16" spans="1:17" ht="39.950000000000003" customHeight="1" x14ac:dyDescent="0.25">
      <c r="A16" s="54">
        <v>10</v>
      </c>
      <c r="B16" s="63" t="s">
        <v>36</v>
      </c>
      <c r="C16" s="64" t="s">
        <v>37</v>
      </c>
      <c r="D16" s="57" t="s">
        <v>17</v>
      </c>
      <c r="E16" s="125"/>
      <c r="F16" s="126"/>
      <c r="G16" s="126"/>
      <c r="H16" s="126"/>
      <c r="I16" s="126"/>
      <c r="J16" s="127"/>
      <c r="K16" s="58">
        <f t="shared" si="0"/>
        <v>0</v>
      </c>
      <c r="L16" s="105" t="str">
        <f t="shared" si="1"/>
        <v>D</v>
      </c>
    </row>
    <row r="17" spans="1:12" ht="39.950000000000003" customHeight="1" x14ac:dyDescent="0.25">
      <c r="A17" s="54">
        <v>11</v>
      </c>
      <c r="B17" s="63" t="s">
        <v>38</v>
      </c>
      <c r="C17" s="64" t="s">
        <v>39</v>
      </c>
      <c r="D17" s="57" t="s">
        <v>17</v>
      </c>
      <c r="E17" s="125"/>
      <c r="F17" s="126"/>
      <c r="G17" s="126"/>
      <c r="H17" s="126"/>
      <c r="I17" s="126"/>
      <c r="J17" s="127"/>
      <c r="K17" s="58">
        <f t="shared" si="0"/>
        <v>0</v>
      </c>
      <c r="L17" s="105" t="str">
        <f t="shared" si="1"/>
        <v>D</v>
      </c>
    </row>
    <row r="18" spans="1:12" ht="39.950000000000003" customHeight="1" x14ac:dyDescent="0.25">
      <c r="A18" s="54">
        <v>12</v>
      </c>
      <c r="B18" s="63" t="s">
        <v>40</v>
      </c>
      <c r="C18" s="64" t="s">
        <v>41</v>
      </c>
      <c r="D18" s="57" t="s">
        <v>17</v>
      </c>
      <c r="E18" s="125"/>
      <c r="F18" s="126"/>
      <c r="G18" s="126"/>
      <c r="H18" s="126"/>
      <c r="I18" s="126"/>
      <c r="J18" s="127"/>
      <c r="K18" s="58">
        <f t="shared" si="0"/>
        <v>0</v>
      </c>
      <c r="L18" s="105" t="str">
        <f t="shared" si="1"/>
        <v>D</v>
      </c>
    </row>
    <row r="19" spans="1:12" ht="39.950000000000003" customHeight="1" x14ac:dyDescent="0.25">
      <c r="A19" s="54">
        <v>13</v>
      </c>
      <c r="B19" s="63" t="s">
        <v>42</v>
      </c>
      <c r="C19" s="64" t="s">
        <v>43</v>
      </c>
      <c r="D19" s="57" t="s">
        <v>17</v>
      </c>
      <c r="E19" s="125"/>
      <c r="F19" s="126"/>
      <c r="G19" s="126"/>
      <c r="H19" s="126"/>
      <c r="I19" s="126"/>
      <c r="J19" s="127"/>
      <c r="K19" s="58">
        <f t="shared" si="0"/>
        <v>0</v>
      </c>
      <c r="L19" s="105" t="str">
        <f t="shared" si="1"/>
        <v>D</v>
      </c>
    </row>
    <row r="20" spans="1:12" ht="39.950000000000003" customHeight="1" x14ac:dyDescent="0.25">
      <c r="A20" s="54">
        <v>14</v>
      </c>
      <c r="B20" s="63" t="s">
        <v>44</v>
      </c>
      <c r="C20" s="64" t="s">
        <v>45</v>
      </c>
      <c r="D20" s="57" t="s">
        <v>17</v>
      </c>
      <c r="E20" s="125"/>
      <c r="F20" s="126"/>
      <c r="G20" s="126"/>
      <c r="H20" s="126"/>
      <c r="I20" s="126"/>
      <c r="J20" s="127"/>
      <c r="K20" s="58">
        <f t="shared" si="0"/>
        <v>0</v>
      </c>
      <c r="L20" s="105" t="str">
        <f t="shared" si="1"/>
        <v>D</v>
      </c>
    </row>
    <row r="21" spans="1:12" ht="39.950000000000003" customHeight="1" x14ac:dyDescent="0.25">
      <c r="A21" s="54">
        <v>15</v>
      </c>
      <c r="B21" s="63" t="s">
        <v>46</v>
      </c>
      <c r="C21" s="64" t="s">
        <v>47</v>
      </c>
      <c r="D21" s="57" t="s">
        <v>17</v>
      </c>
      <c r="E21" s="125"/>
      <c r="F21" s="126"/>
      <c r="G21" s="126"/>
      <c r="H21" s="126"/>
      <c r="I21" s="126"/>
      <c r="J21" s="127"/>
      <c r="K21" s="58">
        <f t="shared" si="0"/>
        <v>0</v>
      </c>
      <c r="L21" s="105" t="str">
        <f t="shared" si="1"/>
        <v>D</v>
      </c>
    </row>
    <row r="22" spans="1:12" ht="39.950000000000003" customHeight="1" x14ac:dyDescent="0.25">
      <c r="A22" s="54">
        <v>16</v>
      </c>
      <c r="B22" s="63" t="s">
        <v>48</v>
      </c>
      <c r="C22" s="64" t="s">
        <v>49</v>
      </c>
      <c r="D22" s="57" t="s">
        <v>17</v>
      </c>
      <c r="E22" s="125"/>
      <c r="F22" s="126"/>
      <c r="G22" s="126"/>
      <c r="H22" s="126"/>
      <c r="I22" s="126"/>
      <c r="J22" s="127"/>
      <c r="K22" s="58">
        <f t="shared" si="0"/>
        <v>0</v>
      </c>
      <c r="L22" s="105" t="str">
        <f t="shared" si="1"/>
        <v>D</v>
      </c>
    </row>
    <row r="23" spans="1:12" ht="39.950000000000003" customHeight="1" x14ac:dyDescent="0.25">
      <c r="A23" s="54">
        <v>17</v>
      </c>
      <c r="B23" s="63" t="s">
        <v>50</v>
      </c>
      <c r="C23" s="64" t="s">
        <v>51</v>
      </c>
      <c r="D23" s="57" t="s">
        <v>17</v>
      </c>
      <c r="E23" s="128"/>
      <c r="F23" s="129"/>
      <c r="G23" s="129"/>
      <c r="H23" s="129"/>
      <c r="I23" s="129"/>
      <c r="J23" s="130"/>
      <c r="K23" s="58">
        <f t="shared" si="0"/>
        <v>0</v>
      </c>
      <c r="L23" s="105" t="str">
        <f t="shared" si="1"/>
        <v>D</v>
      </c>
    </row>
    <row r="24" spans="1:12" ht="39.950000000000003" customHeight="1" x14ac:dyDescent="0.25">
      <c r="A24" s="10">
        <v>18</v>
      </c>
      <c r="B24" s="32" t="s">
        <v>52</v>
      </c>
      <c r="C24" s="33" t="s">
        <v>53</v>
      </c>
      <c r="D24" s="9" t="s">
        <v>17</v>
      </c>
      <c r="E24" s="11">
        <v>11</v>
      </c>
      <c r="F24" s="11">
        <v>11</v>
      </c>
      <c r="G24" s="11">
        <v>17</v>
      </c>
      <c r="H24" s="24">
        <v>35</v>
      </c>
      <c r="I24" s="24">
        <v>35</v>
      </c>
      <c r="J24" s="24">
        <v>37</v>
      </c>
      <c r="K24" s="12">
        <f t="shared" si="0"/>
        <v>356.66666666666669</v>
      </c>
      <c r="L24" s="105" t="str">
        <f t="shared" si="1"/>
        <v>D</v>
      </c>
    </row>
    <row r="25" spans="1:12" ht="39.950000000000003" customHeight="1" x14ac:dyDescent="0.25">
      <c r="A25" s="10">
        <v>19</v>
      </c>
      <c r="B25" s="32" t="s">
        <v>54</v>
      </c>
      <c r="C25" s="33" t="s">
        <v>55</v>
      </c>
      <c r="D25" s="9" t="s">
        <v>17</v>
      </c>
      <c r="E25" s="11">
        <v>7</v>
      </c>
      <c r="F25" s="11">
        <v>14</v>
      </c>
      <c r="G25" s="11">
        <v>14</v>
      </c>
      <c r="H25" s="24">
        <v>31</v>
      </c>
      <c r="I25" s="24">
        <v>38</v>
      </c>
      <c r="J25" s="24">
        <v>34</v>
      </c>
      <c r="K25" s="12">
        <f t="shared" si="0"/>
        <v>343.33333333333331</v>
      </c>
      <c r="L25" s="105" t="str">
        <f t="shared" si="1"/>
        <v>D</v>
      </c>
    </row>
    <row r="26" spans="1:12" ht="39.950000000000003" customHeight="1" x14ac:dyDescent="0.25">
      <c r="A26" s="10">
        <v>20</v>
      </c>
      <c r="B26" s="32" t="s">
        <v>56</v>
      </c>
      <c r="C26" s="33" t="s">
        <v>57</v>
      </c>
      <c r="D26" s="9" t="s">
        <v>17</v>
      </c>
      <c r="E26" s="11">
        <v>16</v>
      </c>
      <c r="F26" s="11">
        <v>13</v>
      </c>
      <c r="G26" s="11">
        <v>12</v>
      </c>
      <c r="H26" s="24">
        <v>41</v>
      </c>
      <c r="I26" s="24">
        <v>37</v>
      </c>
      <c r="J26" s="24">
        <v>31</v>
      </c>
      <c r="K26" s="12">
        <f t="shared" si="0"/>
        <v>363.33333333333331</v>
      </c>
      <c r="L26" s="105" t="str">
        <f t="shared" si="1"/>
        <v>D</v>
      </c>
    </row>
    <row r="27" spans="1:12" ht="39.950000000000003" customHeight="1" x14ac:dyDescent="0.25">
      <c r="A27" s="54">
        <v>21</v>
      </c>
      <c r="B27" s="63" t="s">
        <v>58</v>
      </c>
      <c r="C27" s="64" t="s">
        <v>59</v>
      </c>
      <c r="D27" s="57" t="s">
        <v>17</v>
      </c>
      <c r="E27" s="116" t="s">
        <v>335</v>
      </c>
      <c r="F27" s="117"/>
      <c r="G27" s="117"/>
      <c r="H27" s="117"/>
      <c r="I27" s="117"/>
      <c r="J27" s="118"/>
      <c r="K27" s="58">
        <f t="shared" si="0"/>
        <v>0</v>
      </c>
      <c r="L27" s="105" t="str">
        <f t="shared" si="1"/>
        <v>D</v>
      </c>
    </row>
    <row r="28" spans="1:12" ht="39.950000000000003" customHeight="1" x14ac:dyDescent="0.25">
      <c r="A28" s="10">
        <v>22</v>
      </c>
      <c r="B28" s="32" t="s">
        <v>60</v>
      </c>
      <c r="C28" s="33" t="s">
        <v>61</v>
      </c>
      <c r="D28" s="9" t="s">
        <v>17</v>
      </c>
      <c r="E28" s="11">
        <v>19</v>
      </c>
      <c r="F28" s="11">
        <v>13</v>
      </c>
      <c r="G28" s="11">
        <v>21</v>
      </c>
      <c r="H28" s="24">
        <v>44</v>
      </c>
      <c r="I28" s="24">
        <v>37</v>
      </c>
      <c r="J28" s="24">
        <v>41</v>
      </c>
      <c r="K28" s="12">
        <f t="shared" si="0"/>
        <v>406.66666666666669</v>
      </c>
      <c r="L28" s="105" t="str">
        <f t="shared" si="1"/>
        <v>C</v>
      </c>
    </row>
    <row r="29" spans="1:12" ht="54.95" customHeight="1" x14ac:dyDescent="0.3">
      <c r="A29" s="14"/>
      <c r="B29" s="34"/>
      <c r="C29" s="35"/>
      <c r="D29" s="14"/>
      <c r="E29" s="16"/>
      <c r="F29" s="114"/>
      <c r="G29" s="114"/>
      <c r="H29" s="120" t="s">
        <v>14</v>
      </c>
      <c r="I29" s="120"/>
      <c r="J29" s="120"/>
      <c r="K29" s="120"/>
    </row>
    <row r="30" spans="1:12" ht="84.95" customHeight="1" x14ac:dyDescent="0.3">
      <c r="A30" s="14"/>
      <c r="B30" s="34"/>
      <c r="C30" s="35"/>
      <c r="D30" s="14"/>
      <c r="E30" s="16"/>
      <c r="F30" s="17"/>
      <c r="G30" s="16"/>
      <c r="H30" s="121" t="s">
        <v>11</v>
      </c>
      <c r="I30" s="121"/>
      <c r="J30" s="121"/>
      <c r="K30" s="121"/>
    </row>
    <row r="31" spans="1:12" ht="24.75" customHeight="1" x14ac:dyDescent="0.25">
      <c r="A31" s="14"/>
      <c r="B31" s="34"/>
      <c r="C31" s="35"/>
      <c r="D31" s="14"/>
      <c r="E31" s="16"/>
      <c r="F31" s="17"/>
      <c r="G31" s="17"/>
      <c r="H31" s="113" t="s">
        <v>12</v>
      </c>
      <c r="I31" s="113"/>
      <c r="J31" s="113"/>
      <c r="K31" s="113"/>
    </row>
    <row r="32" spans="1:12" ht="24.95" customHeight="1" x14ac:dyDescent="0.25">
      <c r="A32" s="14"/>
      <c r="B32" s="34"/>
      <c r="C32" s="35"/>
      <c r="D32" s="14"/>
      <c r="E32" s="16"/>
      <c r="F32" s="16"/>
      <c r="G32" s="16"/>
      <c r="H32" s="16"/>
      <c r="I32" s="16"/>
      <c r="J32" s="16"/>
      <c r="K32" s="18"/>
    </row>
    <row r="33" spans="1:11" ht="24.95" customHeight="1" x14ac:dyDescent="0.25">
      <c r="A33" s="19"/>
      <c r="B33" s="34"/>
      <c r="C33" s="35"/>
      <c r="D33" s="19"/>
      <c r="E33" s="18"/>
      <c r="F33" s="18"/>
      <c r="G33" s="18"/>
      <c r="H33" s="18"/>
      <c r="I33" s="18"/>
      <c r="J33" s="18"/>
      <c r="K33" s="18"/>
    </row>
    <row r="34" spans="1:11" ht="24.75" customHeight="1" x14ac:dyDescent="0.25">
      <c r="A34" s="19"/>
      <c r="B34" s="19"/>
      <c r="C34" s="19"/>
      <c r="D34" s="19"/>
      <c r="E34" s="18"/>
      <c r="F34" s="18"/>
      <c r="G34" s="18"/>
      <c r="H34" s="18"/>
      <c r="I34" s="18"/>
      <c r="J34" s="18"/>
      <c r="K34" s="18"/>
    </row>
    <row r="35" spans="1:11" ht="24.95" customHeight="1" x14ac:dyDescent="0.25">
      <c r="A35" s="19"/>
      <c r="B35" s="19"/>
      <c r="C35" s="19"/>
      <c r="D35" s="19"/>
      <c r="E35" s="18"/>
      <c r="F35" s="18"/>
      <c r="G35" s="18"/>
      <c r="H35" s="18"/>
      <c r="I35" s="18"/>
      <c r="J35" s="18"/>
      <c r="K35" s="18"/>
    </row>
    <row r="36" spans="1:11" ht="24" customHeight="1" x14ac:dyDescent="0.25">
      <c r="A36" s="19"/>
      <c r="B36" s="19"/>
      <c r="C36" s="19"/>
      <c r="D36" s="19"/>
      <c r="E36" s="18"/>
      <c r="F36" s="18"/>
      <c r="G36" s="18"/>
      <c r="H36" s="18"/>
      <c r="I36" s="18"/>
      <c r="J36" s="18"/>
      <c r="K36" s="18"/>
    </row>
    <row r="37" spans="1:11" ht="24" customHeight="1" x14ac:dyDescent="0.25">
      <c r="A37" s="19"/>
      <c r="B37" s="19"/>
      <c r="C37" s="19"/>
      <c r="D37" s="19"/>
      <c r="E37" s="18"/>
      <c r="F37" s="18"/>
      <c r="G37" s="18"/>
      <c r="H37" s="18"/>
      <c r="I37" s="18"/>
      <c r="J37" s="18"/>
      <c r="K37" s="18"/>
    </row>
    <row r="38" spans="1:11" ht="18.75" customHeight="1" x14ac:dyDescent="0.25">
      <c r="A38" s="19"/>
      <c r="B38" s="19"/>
      <c r="C38" s="19"/>
      <c r="D38" s="19"/>
      <c r="E38" s="18"/>
      <c r="F38" s="18"/>
      <c r="G38" s="18"/>
      <c r="H38" s="18"/>
      <c r="I38" s="18"/>
      <c r="J38" s="18"/>
      <c r="K38" s="18"/>
    </row>
    <row r="39" spans="1:11" ht="22.5" customHeight="1" x14ac:dyDescent="0.25">
      <c r="A39" s="19"/>
      <c r="B39" s="19"/>
      <c r="C39" s="19"/>
      <c r="D39" s="19"/>
      <c r="E39" s="18"/>
      <c r="F39" s="18"/>
      <c r="G39" s="18"/>
      <c r="H39" s="18"/>
      <c r="I39" s="18"/>
      <c r="J39" s="18"/>
      <c r="K39" s="18"/>
    </row>
    <row r="40" spans="1:11" ht="24.75" customHeight="1" x14ac:dyDescent="0.25">
      <c r="A40" s="19"/>
      <c r="B40" s="19"/>
      <c r="C40" s="19"/>
      <c r="D40" s="19"/>
      <c r="E40" s="18"/>
      <c r="F40" s="18"/>
      <c r="G40" s="18"/>
      <c r="H40" s="18"/>
      <c r="I40" s="18"/>
      <c r="J40" s="18"/>
      <c r="K40" s="18"/>
    </row>
    <row r="41" spans="1:11" ht="23.25" customHeight="1" x14ac:dyDescent="0.25">
      <c r="A41" s="19"/>
      <c r="B41" s="19"/>
      <c r="C41" s="19"/>
      <c r="D41" s="19"/>
      <c r="E41" s="18"/>
      <c r="F41" s="18"/>
      <c r="G41" s="18"/>
      <c r="H41" s="18"/>
      <c r="I41" s="18"/>
      <c r="J41" s="18"/>
      <c r="K41" s="18"/>
    </row>
    <row r="42" spans="1:11" ht="23.25" customHeight="1" x14ac:dyDescent="0.25">
      <c r="E42" s="2"/>
      <c r="F42" s="2"/>
      <c r="G42" s="2"/>
      <c r="H42" s="2"/>
      <c r="I42" s="2"/>
      <c r="J42" s="2"/>
      <c r="K42" s="2"/>
    </row>
    <row r="43" spans="1:11" ht="23.25" customHeight="1" x14ac:dyDescent="0.25">
      <c r="E43" s="2"/>
      <c r="F43" s="2"/>
      <c r="G43" s="2"/>
      <c r="H43" s="2"/>
      <c r="I43" s="2"/>
      <c r="J43" s="2"/>
      <c r="K43" s="2"/>
    </row>
    <row r="44" spans="1:11" ht="23.25" customHeight="1" x14ac:dyDescent="0.25">
      <c r="E44" s="2"/>
      <c r="F44" s="2"/>
      <c r="G44" s="2"/>
      <c r="H44" s="2"/>
      <c r="I44" s="2"/>
      <c r="J44" s="2"/>
      <c r="K44" s="2"/>
    </row>
    <row r="45" spans="1:11" ht="84" customHeight="1" x14ac:dyDescent="0.25">
      <c r="E45" s="2"/>
      <c r="F45" s="2"/>
      <c r="G45" s="2"/>
      <c r="H45" s="2"/>
      <c r="I45" s="2"/>
      <c r="J45" s="2"/>
      <c r="K45" s="2"/>
    </row>
    <row r="46" spans="1:11" x14ac:dyDescent="0.25">
      <c r="E46" s="2"/>
      <c r="F46" s="2"/>
      <c r="G46" s="2"/>
      <c r="H46" s="2"/>
      <c r="I46" s="2"/>
      <c r="J46" s="2"/>
      <c r="K46" s="2"/>
    </row>
    <row r="47" spans="1:11" x14ac:dyDescent="0.25">
      <c r="E47" s="2"/>
      <c r="F47" s="2"/>
      <c r="G47" s="2"/>
      <c r="H47" s="2"/>
      <c r="I47" s="2"/>
      <c r="J47" s="2"/>
      <c r="K47" s="2"/>
    </row>
    <row r="48" spans="1:11" x14ac:dyDescent="0.25">
      <c r="E48" s="2"/>
      <c r="F48" s="2"/>
      <c r="G48" s="2"/>
      <c r="H48" s="2"/>
      <c r="I48" s="2"/>
      <c r="J48" s="2"/>
      <c r="K48" s="2"/>
    </row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</sheetData>
  <mergeCells count="14">
    <mergeCell ref="H31:K31"/>
    <mergeCell ref="E7:J8"/>
    <mergeCell ref="E10:J23"/>
    <mergeCell ref="E27:J27"/>
    <mergeCell ref="A1:K1"/>
    <mergeCell ref="A2:K2"/>
    <mergeCell ref="A3:K3"/>
    <mergeCell ref="E5:G5"/>
    <mergeCell ref="H5:J5"/>
    <mergeCell ref="N14:P14"/>
    <mergeCell ref="L5:L6"/>
    <mergeCell ref="F29:G29"/>
    <mergeCell ref="H29:K29"/>
    <mergeCell ref="H30:K30"/>
  </mergeCells>
  <conditionalFormatting sqref="B7:C33">
    <cfRule type="cellIs" dxfId="2" priority="1" stopIfTrue="1" operator="equal">
      <formula>"A"</formula>
    </cfRule>
    <cfRule type="cellIs" dxfId="1" priority="2" stopIfTrue="1" operator="equal">
      <formula>"I"</formula>
    </cfRule>
    <cfRule type="cellIs" dxfId="0" priority="3" stopIfTrue="1" operator="equal">
      <formula>"S"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TRM 1A</vt:lpstr>
      <vt:lpstr>TRM 1B</vt:lpstr>
      <vt:lpstr>TI 1A</vt:lpstr>
      <vt:lpstr>TI 1B</vt:lpstr>
      <vt:lpstr>TM 1A</vt:lpstr>
      <vt:lpstr>TM 1B</vt:lpstr>
      <vt:lpstr>TM 1C</vt:lpstr>
      <vt:lpstr>1A - TRPF</vt:lpstr>
      <vt:lpstr>'TM 1A'!Print_Area</vt:lpstr>
      <vt:lpstr>'TM 1B'!Print_Area</vt:lpstr>
      <vt:lpstr>'TRM 1A'!Print_Area</vt:lpstr>
      <vt:lpstr>'TRM 1B'!Print_Area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Alfi Syahrin</cp:lastModifiedBy>
  <cp:lastPrinted>2022-03-25T05:00:04Z</cp:lastPrinted>
  <dcterms:created xsi:type="dcterms:W3CDTF">2022-02-14T04:57:48Z</dcterms:created>
  <dcterms:modified xsi:type="dcterms:W3CDTF">2025-06-18T07:32:58Z</dcterms:modified>
</cp:coreProperties>
</file>